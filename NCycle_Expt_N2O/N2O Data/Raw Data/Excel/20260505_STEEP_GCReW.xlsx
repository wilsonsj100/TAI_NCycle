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giessnerm_si_edu/Documents/Documents/GitHub/TAI_NCycle/NCycle_Expt_N2O/N2O Data/Raw Data/Excel/"/>
    </mc:Choice>
  </mc:AlternateContent>
  <xr:revisionPtr revIDLastSave="2" documentId="13_ncr:1_{A598E9CF-0872-4A14-A130-28D06E98D809}" xr6:coauthVersionLast="47" xr6:coauthVersionMax="47" xr10:uidLastSave="{5CCFFEC6-D19C-4EF6-9C58-F0597CA3D179}"/>
  <bookViews>
    <workbookView xWindow="960" yWindow="225" windowWidth="17805" windowHeight="14565" xr2:uid="{BD91B5F2-2EE8-4BB9-9259-82C885726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  <c r="K73" i="1"/>
  <c r="K74" i="1"/>
  <c r="K75" i="1"/>
  <c r="K76" i="1"/>
  <c r="K77" i="1"/>
  <c r="K78" i="1"/>
  <c r="K79" i="1"/>
  <c r="K72" i="1"/>
  <c r="K71" i="1"/>
  <c r="K55" i="1"/>
  <c r="K56" i="1"/>
  <c r="K59" i="1"/>
  <c r="K60" i="1"/>
  <c r="K61" i="1"/>
  <c r="K62" i="1"/>
  <c r="K63" i="1"/>
  <c r="K64" i="1"/>
  <c r="K65" i="1"/>
  <c r="K66" i="1"/>
  <c r="K67" i="1"/>
  <c r="K68" i="1"/>
  <c r="K48" i="1"/>
  <c r="K49" i="1"/>
  <c r="K50" i="1"/>
  <c r="K51" i="1"/>
  <c r="K52" i="1"/>
  <c r="K53" i="1"/>
  <c r="K54" i="1"/>
  <c r="K47" i="1"/>
  <c r="K39" i="1"/>
  <c r="K40" i="1"/>
  <c r="K41" i="1"/>
  <c r="K42" i="1"/>
  <c r="K43" i="1"/>
  <c r="K44" i="1"/>
  <c r="K35" i="1"/>
  <c r="K36" i="1"/>
  <c r="K37" i="1"/>
  <c r="K38" i="1"/>
  <c r="K30" i="1"/>
  <c r="K31" i="1"/>
  <c r="K32" i="1"/>
  <c r="K29" i="1"/>
  <c r="K24" i="1"/>
  <c r="K25" i="1"/>
  <c r="K26" i="1"/>
  <c r="K27" i="1"/>
  <c r="K28" i="1"/>
  <c r="K23" i="1"/>
  <c r="E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</calcChain>
</file>

<file path=xl/sharedStrings.xml><?xml version="1.0" encoding="utf-8"?>
<sst xmlns="http://schemas.openxmlformats.org/spreadsheetml/2006/main" count="376" uniqueCount="100">
  <si>
    <t>Sample ID</t>
  </si>
  <si>
    <t>Type</t>
  </si>
  <si>
    <t>Conc_CO2</t>
  </si>
  <si>
    <t>Conc_CH4</t>
  </si>
  <si>
    <t>Conc_N2O</t>
  </si>
  <si>
    <t>LabAir</t>
  </si>
  <si>
    <t>Lab air</t>
  </si>
  <si>
    <t>unknown</t>
  </si>
  <si>
    <t>Blank1</t>
  </si>
  <si>
    <t>Blank</t>
  </si>
  <si>
    <t>Blank2</t>
  </si>
  <si>
    <t>Blank3</t>
  </si>
  <si>
    <t>CO2_Area</t>
  </si>
  <si>
    <t>CH4_Area</t>
  </si>
  <si>
    <t>N2O_Area</t>
  </si>
  <si>
    <t>Standard</t>
  </si>
  <si>
    <t>Blank5</t>
  </si>
  <si>
    <t>Blank6</t>
  </si>
  <si>
    <t>ChkStd_12mLLowTri2</t>
  </si>
  <si>
    <t>ChkStd</t>
  </si>
  <si>
    <t>ChkStd_12mLLowTri1</t>
  </si>
  <si>
    <t>Blank7</t>
  </si>
  <si>
    <t>Sample</t>
  </si>
  <si>
    <t>Blank8</t>
  </si>
  <si>
    <t>ChkStd_12mLLowTri3</t>
  </si>
  <si>
    <t>Blank9</t>
  </si>
  <si>
    <t>Notes</t>
  </si>
  <si>
    <t>Blank10</t>
  </si>
  <si>
    <t>ChkStd_12mLLowTri4</t>
  </si>
  <si>
    <t>ChkStd_12mLLowTri5</t>
  </si>
  <si>
    <t>ChkStd_12mLLowTri6</t>
  </si>
  <si>
    <t>Blank11</t>
  </si>
  <si>
    <t>Blank4</t>
  </si>
  <si>
    <t>20260505_0ppm</t>
  </si>
  <si>
    <t>20260505_3mlLowTri</t>
  </si>
  <si>
    <t>20260505_6mlLowTri</t>
  </si>
  <si>
    <t>20260505_9mlLowTri</t>
  </si>
  <si>
    <t>20260505_12mlLowTri</t>
  </si>
  <si>
    <t>20260505_3mlMidTri</t>
  </si>
  <si>
    <t>20260505_6mlMidTri</t>
  </si>
  <si>
    <t>20260505_9mlMidTri</t>
  </si>
  <si>
    <t>20260505_12mlMidTri</t>
  </si>
  <si>
    <t>20260505_3mlHighTri</t>
  </si>
  <si>
    <t>20260505_6mlHighTri</t>
  </si>
  <si>
    <t>20260505_9mlHighTri</t>
  </si>
  <si>
    <t>20260505_12mlHighTri</t>
  </si>
  <si>
    <t>20260505_9mlLowTri_2</t>
  </si>
  <si>
    <t>SWH_TR_C_T0</t>
  </si>
  <si>
    <t>SWH_TR_C_T1</t>
  </si>
  <si>
    <t>SWH_TR_C_T2</t>
  </si>
  <si>
    <t>SWH_TR_C_T3</t>
  </si>
  <si>
    <t>SWH_TR_C_T4</t>
  </si>
  <si>
    <t>SWH_TR_C_T5</t>
  </si>
  <si>
    <t>SWH_TR_C_T6</t>
  </si>
  <si>
    <t>SWH_WC_A_T0</t>
  </si>
  <si>
    <t>SWH_WC_A_T1</t>
  </si>
  <si>
    <t>SWH_WC_A_T2</t>
  </si>
  <si>
    <t>SWH_WC_C_T3</t>
  </si>
  <si>
    <t>SWH_WC_C_T4</t>
  </si>
  <si>
    <t>SWH_WC_C_T5</t>
  </si>
  <si>
    <t>SWH_WC_C_T6</t>
  </si>
  <si>
    <t>SWH_WC_A_T3</t>
  </si>
  <si>
    <t>SWH_WC_A_T4</t>
  </si>
  <si>
    <t>SWH_WC_A_T5</t>
  </si>
  <si>
    <t>SWH_WC_A_T6</t>
  </si>
  <si>
    <t>SWH_WC_B_T0</t>
  </si>
  <si>
    <t>SWH_WC_B_T1</t>
  </si>
  <si>
    <t>SWH_WC_B_T2</t>
  </si>
  <si>
    <t>SWH_WC_B_T3</t>
  </si>
  <si>
    <t>SWH_WC_B_T4</t>
  </si>
  <si>
    <t>SWH_WC_B_T5</t>
  </si>
  <si>
    <t>SWH_WC_B_T6</t>
  </si>
  <si>
    <t>SWH_WC_C_T0</t>
  </si>
  <si>
    <t>SWH_WC_C_T1</t>
  </si>
  <si>
    <t>SWH_WC_C_T2</t>
  </si>
  <si>
    <t>MSM_UP_A_T0</t>
  </si>
  <si>
    <t>MSM_UP_A_T1</t>
  </si>
  <si>
    <t>MSM_UP_A_T2</t>
  </si>
  <si>
    <t>MSM_UP_A_T3</t>
  </si>
  <si>
    <t>MSM_UP_A_T4</t>
  </si>
  <si>
    <t>MSM_UP_A_T5</t>
  </si>
  <si>
    <t>MSM_UP_A_T6</t>
  </si>
  <si>
    <t>MSM_UP_B_T0</t>
  </si>
  <si>
    <t>MSM_UP_B_T1</t>
  </si>
  <si>
    <t>MSM_UP_B_T2</t>
  </si>
  <si>
    <t>MSM_UP_B_T3</t>
  </si>
  <si>
    <t>MSM_UP_B_T4</t>
  </si>
  <si>
    <t>MSM_UP_B_T5</t>
  </si>
  <si>
    <t>MSM_UP_B_T6</t>
  </si>
  <si>
    <t>MSM_UP_C_T0</t>
  </si>
  <si>
    <t>MSM_UP_C_T1</t>
  </si>
  <si>
    <t>MSM_UP_C_T2</t>
  </si>
  <si>
    <t>MSM_UP_C_T3</t>
  </si>
  <si>
    <t>MSM_UP_C_T4</t>
  </si>
  <si>
    <t>MSM_UP_C_T5</t>
  </si>
  <si>
    <t>MSM_UP_C_T6</t>
  </si>
  <si>
    <t>more pressurized than the others</t>
  </si>
  <si>
    <t>Hour</t>
  </si>
  <si>
    <t>N2O</t>
  </si>
  <si>
    <t>N2O looks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</si>
</sst>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Sheet1!$D$5:$D$18</c:f>
              <c:numCache>
                <c:formatCode>General</c:formatCode>
                <c:ptCount val="14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25</c:v>
                </c:pt>
                <c:pt idx="6">
                  <c:v>7.5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251.5</c:v>
                </c:pt>
                <c:pt idx="11">
                  <c:v>503</c:v>
                </c:pt>
                <c:pt idx="12">
                  <c:v>754.5</c:v>
                </c:pt>
                <c:pt idx="13">
                  <c:v>1006</c:v>
                </c:pt>
              </c:numCache>
            </c:numRef>
          </c:xVal>
          <c:yVal>
            <c:numRef>
              <c:f>Sheet1!$G$5:$G$18</c:f>
              <c:numCache>
                <c:formatCode>General</c:formatCode>
                <c:ptCount val="14"/>
                <c:pt idx="0">
                  <c:v>160</c:v>
                </c:pt>
                <c:pt idx="1">
                  <c:v>1632</c:v>
                </c:pt>
                <c:pt idx="2">
                  <c:v>3292</c:v>
                </c:pt>
                <c:pt idx="3">
                  <c:v>5269</c:v>
                </c:pt>
                <c:pt idx="4">
                  <c:v>6129</c:v>
                </c:pt>
                <c:pt idx="5">
                  <c:v>15319</c:v>
                </c:pt>
                <c:pt idx="6">
                  <c:v>5119</c:v>
                </c:pt>
                <c:pt idx="7">
                  <c:v>30138</c:v>
                </c:pt>
                <c:pt idx="8">
                  <c:v>45411</c:v>
                </c:pt>
                <c:pt idx="9">
                  <c:v>61049</c:v>
                </c:pt>
                <c:pt idx="10">
                  <c:v>156866</c:v>
                </c:pt>
                <c:pt idx="11">
                  <c:v>303700</c:v>
                </c:pt>
                <c:pt idx="12">
                  <c:v>463486</c:v>
                </c:pt>
                <c:pt idx="13">
                  <c:v>617911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A5-4638-AD9B-7465033A3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069535"/>
        <c:axId val="1150070975"/>
      </c:scatterChart>
      <c:valAx>
        <c:axId val="115006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70975"/>
        <c:crosses val="autoZero"/>
        <c:crossBetween val="midCat"/>
      </c:valAx>
      <c:valAx>
        <c:axId val="11500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6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N2O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Sheet1!$E$5:$E$18</c:f>
              <c:numCache>
                <c:formatCode>General</c:formatCode>
                <c:ptCount val="14"/>
                <c:pt idx="0">
                  <c:v>0</c:v>
                </c:pt>
                <c:pt idx="1">
                  <c:v>1.25</c:v>
                </c:pt>
                <c:pt idx="2">
                  <c:v>2.5</c:v>
                </c:pt>
                <c:pt idx="3">
                  <c:v>3.75</c:v>
                </c:pt>
                <c:pt idx="4">
                  <c:v>5</c:v>
                </c:pt>
                <c:pt idx="5">
                  <c:v>12.55</c:v>
                </c:pt>
                <c:pt idx="6">
                  <c:v>3.75</c:v>
                </c:pt>
                <c:pt idx="7">
                  <c:v>25.1</c:v>
                </c:pt>
                <c:pt idx="8">
                  <c:v>37.650000000000006</c:v>
                </c:pt>
                <c:pt idx="9">
                  <c:v>50.2</c:v>
                </c:pt>
                <c:pt idx="10">
                  <c:v>125</c:v>
                </c:pt>
                <c:pt idx="11">
                  <c:v>250</c:v>
                </c:pt>
                <c:pt idx="12">
                  <c:v>375</c:v>
                </c:pt>
                <c:pt idx="13">
                  <c:v>500</c:v>
                </c:pt>
              </c:numCache>
            </c:numRef>
          </c:xVal>
          <c:yVal>
            <c:numRef>
              <c:f>Sheet1!$H$5:$H$18</c:f>
              <c:numCache>
                <c:formatCode>General</c:formatCode>
                <c:ptCount val="14"/>
                <c:pt idx="0">
                  <c:v>0</c:v>
                </c:pt>
                <c:pt idx="1">
                  <c:v>2894</c:v>
                </c:pt>
                <c:pt idx="2">
                  <c:v>5989</c:v>
                </c:pt>
                <c:pt idx="3">
                  <c:v>10122</c:v>
                </c:pt>
                <c:pt idx="4">
                  <c:v>11493</c:v>
                </c:pt>
                <c:pt idx="5">
                  <c:v>27945</c:v>
                </c:pt>
                <c:pt idx="6">
                  <c:v>9626</c:v>
                </c:pt>
                <c:pt idx="7">
                  <c:v>53128</c:v>
                </c:pt>
                <c:pt idx="8">
                  <c:v>78068</c:v>
                </c:pt>
                <c:pt idx="9">
                  <c:v>104126</c:v>
                </c:pt>
                <c:pt idx="10">
                  <c:v>207456</c:v>
                </c:pt>
                <c:pt idx="11">
                  <c:v>361037</c:v>
                </c:pt>
                <c:pt idx="12">
                  <c:v>517192</c:v>
                </c:pt>
                <c:pt idx="13">
                  <c:v>668878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3-4451-9524-05D51C11F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71743"/>
        <c:axId val="1579970303"/>
      </c:scatterChart>
      <c:valAx>
        <c:axId val="157997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70303"/>
        <c:crosses val="autoZero"/>
        <c:crossBetween val="midCat"/>
      </c:valAx>
      <c:valAx>
        <c:axId val="15799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71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N2O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(Sheet1!$E$5:$E$7,Sheet1!$E$9,Sheet1!$E$11)</c:f>
              <c:numCache>
                <c:formatCode>General</c:formatCode>
                <c:ptCount val="5"/>
                <c:pt idx="0">
                  <c:v>0</c:v>
                </c:pt>
                <c:pt idx="1">
                  <c:v>1.25</c:v>
                </c:pt>
                <c:pt idx="2">
                  <c:v>2.5</c:v>
                </c:pt>
                <c:pt idx="3">
                  <c:v>5</c:v>
                </c:pt>
                <c:pt idx="4">
                  <c:v>3.75</c:v>
                </c:pt>
              </c:numCache>
            </c:numRef>
          </c:xVal>
          <c:yVal>
            <c:numRef>
              <c:f>(Sheet1!$H$5:$H$7,Sheet1!$H$9,Sheet1!$H$11)</c:f>
              <c:numCache>
                <c:formatCode>General</c:formatCode>
                <c:ptCount val="5"/>
                <c:pt idx="0">
                  <c:v>0</c:v>
                </c:pt>
                <c:pt idx="1">
                  <c:v>2894</c:v>
                </c:pt>
                <c:pt idx="2">
                  <c:v>5989</c:v>
                </c:pt>
                <c:pt idx="3">
                  <c:v>11493</c:v>
                </c:pt>
                <c:pt idx="4">
                  <c:v>9626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6B-44C8-851B-79EFD3C9D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71743"/>
        <c:axId val="1579970303"/>
      </c:scatterChart>
      <c:valAx>
        <c:axId val="157997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70303"/>
        <c:crosses val="autoZero"/>
        <c:crossBetween val="midCat"/>
      </c:valAx>
      <c:valAx>
        <c:axId val="15799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71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(Sheet1!$D$5:$D$7,Sheet1!$D$9,Sheet1!$D$11)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7.5</c:v>
                </c:pt>
              </c:numCache>
            </c:numRef>
          </c:xVal>
          <c:yVal>
            <c:numRef>
              <c:f>(Sheet1!$G$5:$G$7,Sheet1!$G$9,Sheet1!$G$11)</c:f>
              <c:numCache>
                <c:formatCode>General</c:formatCode>
                <c:ptCount val="5"/>
                <c:pt idx="0">
                  <c:v>160</c:v>
                </c:pt>
                <c:pt idx="1">
                  <c:v>1632</c:v>
                </c:pt>
                <c:pt idx="2">
                  <c:v>3292</c:v>
                </c:pt>
                <c:pt idx="3">
                  <c:v>6129</c:v>
                </c:pt>
                <c:pt idx="4">
                  <c:v>5119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C8-4485-8EB9-3689893B5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069535"/>
        <c:axId val="1150070975"/>
      </c:scatterChart>
      <c:valAx>
        <c:axId val="115006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70975"/>
        <c:crosses val="autoZero"/>
        <c:crossBetween val="midCat"/>
      </c:valAx>
      <c:valAx>
        <c:axId val="11500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6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Sheet1!$C$5:$C$18</c:f>
              <c:numCache>
                <c:formatCode>General</c:formatCode>
                <c:ptCount val="14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5000</c:v>
                </c:pt>
                <c:pt idx="6">
                  <c:v>1500</c:v>
                </c:pt>
                <c:pt idx="7">
                  <c:v>10000</c:v>
                </c:pt>
                <c:pt idx="8">
                  <c:v>15000</c:v>
                </c:pt>
                <c:pt idx="9">
                  <c:v>20000</c:v>
                </c:pt>
                <c:pt idx="10">
                  <c:v>12525</c:v>
                </c:pt>
                <c:pt idx="11">
                  <c:v>25050</c:v>
                </c:pt>
                <c:pt idx="12">
                  <c:v>37575</c:v>
                </c:pt>
                <c:pt idx="13">
                  <c:v>50100</c:v>
                </c:pt>
              </c:numCache>
            </c:numRef>
          </c:xVal>
          <c:yVal>
            <c:numRef>
              <c:f>Sheet1!$F$5:$F$18</c:f>
              <c:numCache>
                <c:formatCode>General</c:formatCode>
                <c:ptCount val="14"/>
                <c:pt idx="0">
                  <c:v>11137</c:v>
                </c:pt>
                <c:pt idx="1">
                  <c:v>221488</c:v>
                </c:pt>
                <c:pt idx="2">
                  <c:v>429045</c:v>
                </c:pt>
                <c:pt idx="3">
                  <c:v>703697</c:v>
                </c:pt>
                <c:pt idx="4">
                  <c:v>797913</c:v>
                </c:pt>
                <c:pt idx="5">
                  <c:v>1914944</c:v>
                </c:pt>
                <c:pt idx="6">
                  <c:v>668638</c:v>
                </c:pt>
                <c:pt idx="7">
                  <c:v>3533513</c:v>
                </c:pt>
                <c:pt idx="8">
                  <c:v>5075694</c:v>
                </c:pt>
                <c:pt idx="9">
                  <c:v>6512499</c:v>
                </c:pt>
                <c:pt idx="10">
                  <c:v>4424657</c:v>
                </c:pt>
                <c:pt idx="11">
                  <c:v>7771427</c:v>
                </c:pt>
                <c:pt idx="12">
                  <c:v>10978143</c:v>
                </c:pt>
                <c:pt idx="13">
                  <c:v>13866861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41-46B4-B51D-D1802EBF3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477439"/>
        <c:axId val="1150477919"/>
      </c:scatterChart>
      <c:valAx>
        <c:axId val="115047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77919"/>
        <c:crosses val="autoZero"/>
        <c:crossBetween val="midCat"/>
      </c:valAx>
      <c:valAx>
        <c:axId val="115047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7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(Sheet1!$C$5:$C$7,Sheet1!$C$9,Sheet1!$C$11)</c:f>
              <c:numCache>
                <c:formatCode>General</c:formatCode>
                <c:ptCount val="5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1500</c:v>
                </c:pt>
              </c:numCache>
            </c:numRef>
          </c:xVal>
          <c:yVal>
            <c:numRef>
              <c:f>(Sheet1!$F$5:$F$7,Sheet1!$F$9,Sheet1!$F$11)</c:f>
              <c:numCache>
                <c:formatCode>General</c:formatCode>
                <c:ptCount val="5"/>
                <c:pt idx="0">
                  <c:v>11137</c:v>
                </c:pt>
                <c:pt idx="1">
                  <c:v>221488</c:v>
                </c:pt>
                <c:pt idx="2">
                  <c:v>429045</c:v>
                </c:pt>
                <c:pt idx="3">
                  <c:v>797913</c:v>
                </c:pt>
                <c:pt idx="4">
                  <c:v>668638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42-4B89-8C97-9578050F2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477439"/>
        <c:axId val="1150477919"/>
      </c:scatterChart>
      <c:valAx>
        <c:axId val="115047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77919"/>
        <c:crosses val="autoZero"/>
        <c:crossBetween val="midCat"/>
      </c:valAx>
      <c:valAx>
        <c:axId val="115047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7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SWH_TR_C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Sheet1!$J$23:$J$29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Sheet1!$K$23:$K$29</c:f>
              <c:numCache>
                <c:formatCode>General</c:formatCode>
                <c:ptCount val="7"/>
                <c:pt idx="0">
                  <c:v>4755</c:v>
                </c:pt>
                <c:pt idx="1">
                  <c:v>16133</c:v>
                </c:pt>
                <c:pt idx="2">
                  <c:v>15563</c:v>
                </c:pt>
                <c:pt idx="3">
                  <c:v>14602</c:v>
                </c:pt>
                <c:pt idx="4">
                  <c:v>18518</c:v>
                </c:pt>
                <c:pt idx="5">
                  <c:v>4783</c:v>
                </c:pt>
                <c:pt idx="6">
                  <c:v>4542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14-483E-BB2F-AAF9A3837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199967"/>
        <c:axId val="1160200447"/>
      </c:scatterChart>
      <c:valAx>
        <c:axId val="116019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00447"/>
        <c:crosses val="autoZero"/>
        <c:crossBetween val="midCat"/>
      </c:valAx>
      <c:valAx>
        <c:axId val="116020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9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SWH_WC_A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(Sheet1!$J$30:$J$32,Sheet1!$J$35:$J$38)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(Sheet1!$K$30:$K$32,Sheet1!$K$35:$K$38)</c:f>
              <c:numCache>
                <c:formatCode>General</c:formatCode>
                <c:ptCount val="7"/>
                <c:pt idx="0">
                  <c:v>2082</c:v>
                </c:pt>
                <c:pt idx="1">
                  <c:v>3955</c:v>
                </c:pt>
                <c:pt idx="2">
                  <c:v>4577</c:v>
                </c:pt>
                <c:pt idx="3">
                  <c:v>7734</c:v>
                </c:pt>
                <c:pt idx="4">
                  <c:v>3355</c:v>
                </c:pt>
                <c:pt idx="5">
                  <c:v>4314</c:v>
                </c:pt>
                <c:pt idx="6">
                  <c:v>3200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93-4D9C-A2BB-DD5650FB7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113167"/>
        <c:axId val="1628115087"/>
      </c:scatterChart>
      <c:valAx>
        <c:axId val="162811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15087"/>
        <c:crosses val="autoZero"/>
        <c:crossBetween val="midCat"/>
      </c:valAx>
      <c:valAx>
        <c:axId val="162811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1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SWH_WC_B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(Sheet1!$J$39:$J$44,Sheet1!$J$47)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(Sheet1!$K$39:$K$44,Sheet1!$K$47)</c:f>
              <c:numCache>
                <c:formatCode>General</c:formatCode>
                <c:ptCount val="7"/>
                <c:pt idx="0">
                  <c:v>2509</c:v>
                </c:pt>
                <c:pt idx="1">
                  <c:v>3772</c:v>
                </c:pt>
                <c:pt idx="2">
                  <c:v>1547</c:v>
                </c:pt>
                <c:pt idx="3">
                  <c:v>3779</c:v>
                </c:pt>
                <c:pt idx="4">
                  <c:v>4236</c:v>
                </c:pt>
                <c:pt idx="5">
                  <c:v>9279</c:v>
                </c:pt>
                <c:pt idx="6">
                  <c:v>7319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16-4F04-BA97-8E6DA80A6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885440"/>
        <c:axId val="918878720"/>
      </c:scatterChart>
      <c:valAx>
        <c:axId val="91888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878720"/>
        <c:crosses val="autoZero"/>
        <c:crossBetween val="midCat"/>
      </c:valAx>
      <c:valAx>
        <c:axId val="91887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88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SWH_WC_C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Sheet1!$J$48:$J$54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Sheet1!$K$48:$K$54</c:f>
              <c:numCache>
                <c:formatCode>General</c:formatCode>
                <c:ptCount val="7"/>
                <c:pt idx="0">
                  <c:v>2854</c:v>
                </c:pt>
                <c:pt idx="1">
                  <c:v>2920</c:v>
                </c:pt>
                <c:pt idx="2">
                  <c:v>3410</c:v>
                </c:pt>
                <c:pt idx="3">
                  <c:v>11385</c:v>
                </c:pt>
                <c:pt idx="4">
                  <c:v>9779</c:v>
                </c:pt>
                <c:pt idx="5">
                  <c:v>10817</c:v>
                </c:pt>
                <c:pt idx="6">
                  <c:v>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F1-4ABD-8307-43E4CAA45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847727"/>
        <c:axId val="1116848207"/>
      </c:scatterChart>
      <c:valAx>
        <c:axId val="111684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48207"/>
        <c:crosses val="autoZero"/>
        <c:crossBetween val="midCat"/>
      </c:valAx>
      <c:valAx>
        <c:axId val="111684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4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MSM_UP_A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(Sheet1!$J$55:$J$56,Sheet1!$J$59:$J$63)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(Sheet1!$K$55:$K$56,Sheet1!$K$59:$K$63)</c:f>
              <c:numCache>
                <c:formatCode>General</c:formatCode>
                <c:ptCount val="7"/>
                <c:pt idx="0">
                  <c:v>11771</c:v>
                </c:pt>
                <c:pt idx="1">
                  <c:v>43017</c:v>
                </c:pt>
                <c:pt idx="2">
                  <c:v>40135</c:v>
                </c:pt>
                <c:pt idx="3">
                  <c:v>9020</c:v>
                </c:pt>
                <c:pt idx="4">
                  <c:v>123614</c:v>
                </c:pt>
                <c:pt idx="5">
                  <c:v>125125</c:v>
                </c:pt>
                <c:pt idx="6">
                  <c:v>166733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8-44BF-991C-AE48B97F3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700768"/>
        <c:axId val="878698848"/>
      </c:scatterChart>
      <c:valAx>
        <c:axId val="87870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698848"/>
        <c:crosses val="autoZero"/>
        <c:crossBetween val="midCat"/>
      </c:valAx>
      <c:valAx>
        <c:axId val="87869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0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MSM_UP_B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(Sheet1!$J$64:$J$68,Sheet1!$J$71:$J$72)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(Sheet1!$K$64:$K$68,Sheet1!$K$71:$K$72)</c:f>
              <c:numCache>
                <c:formatCode>General</c:formatCode>
                <c:ptCount val="7"/>
                <c:pt idx="0">
                  <c:v>30326</c:v>
                </c:pt>
                <c:pt idx="1">
                  <c:v>30847</c:v>
                </c:pt>
                <c:pt idx="2">
                  <c:v>30585</c:v>
                </c:pt>
                <c:pt idx="3">
                  <c:v>22469</c:v>
                </c:pt>
                <c:pt idx="4">
                  <c:v>32088</c:v>
                </c:pt>
                <c:pt idx="5">
                  <c:v>31663</c:v>
                </c:pt>
                <c:pt idx="6">
                  <c:v>53288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42-4CA0-8948-8CE3CB2EC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254592"/>
        <c:axId val="1622450351"/>
      </c:scatterChart>
      <c:valAx>
        <c:axId val="89125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50351"/>
        <c:crosses val="autoZero"/>
        <c:crossBetween val="midCat"/>
      </c:valAx>
      <c:valAx>
        <c:axId val="162245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5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MSM_UP_C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Sheet1!$J$73:$J$79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Sheet1!$K$73:$K$79</c:f>
              <c:numCache>
                <c:formatCode>General</c:formatCode>
                <c:ptCount val="7"/>
                <c:pt idx="0">
                  <c:v>9798</c:v>
                </c:pt>
                <c:pt idx="1">
                  <c:v>40374</c:v>
                </c:pt>
                <c:pt idx="2">
                  <c:v>76865</c:v>
                </c:pt>
                <c:pt idx="3">
                  <c:v>69508</c:v>
                </c:pt>
                <c:pt idx="4">
                  <c:v>35815</c:v>
                </c:pt>
                <c:pt idx="5">
                  <c:v>78707</c:v>
                </c:pt>
                <c:pt idx="6">
                  <c:v>3328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D-4616-AD69-3CE698EE3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977088"/>
        <c:axId val="911984288"/>
      </c:scatterChart>
      <c:valAx>
        <c:axId val="91197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984288"/>
        <c:crosses val="autoZero"/>
        <c:crossBetween val="midCat"/>
      </c:valAx>
      <c:valAx>
        <c:axId val="91198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97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14</xdr:row>
      <xdr:rowOff>147637</xdr:rowOff>
    </xdr:from>
    <xdr:to>
      <xdr:col>19</xdr:col>
      <xdr:colOff>0</xdr:colOff>
      <xdr:row>29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864D7A-7D9D-AA1E-57CA-46142C3B0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</xdr:colOff>
      <xdr:row>0</xdr:row>
      <xdr:rowOff>128587</xdr:rowOff>
    </xdr:from>
    <xdr:to>
      <xdr:col>17</xdr:col>
      <xdr:colOff>352425</xdr:colOff>
      <xdr:row>14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62B5C1-D089-D76C-4AE4-5A6DAE9E1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485775</xdr:colOff>
      <xdr:row>0</xdr:row>
      <xdr:rowOff>76200</xdr:rowOff>
    </xdr:from>
    <xdr:to>
      <xdr:col>24</xdr:col>
      <xdr:colOff>180975</xdr:colOff>
      <xdr:row>13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4659A4-5352-4149-A71A-4F99B9AB1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495300</xdr:colOff>
      <xdr:row>14</xdr:row>
      <xdr:rowOff>57150</xdr:rowOff>
    </xdr:from>
    <xdr:to>
      <xdr:col>26</xdr:col>
      <xdr:colOff>190500</xdr:colOff>
      <xdr:row>28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0A13A0-6D51-4E8F-A0DF-D4FCE0AF4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252412</xdr:colOff>
      <xdr:row>29</xdr:row>
      <xdr:rowOff>119062</xdr:rowOff>
    </xdr:from>
    <xdr:to>
      <xdr:col>18</xdr:col>
      <xdr:colOff>557212</xdr:colOff>
      <xdr:row>44</xdr:row>
      <xdr:rowOff>4762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D831F5-A447-6E7F-C5F9-34767A607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600075</xdr:colOff>
      <xdr:row>29</xdr:row>
      <xdr:rowOff>38100</xdr:rowOff>
    </xdr:from>
    <xdr:to>
      <xdr:col>26</xdr:col>
      <xdr:colOff>295275</xdr:colOff>
      <xdr:row>43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071F5FC-D79C-405B-A859-18D24D812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585787</xdr:colOff>
      <xdr:row>43</xdr:row>
      <xdr:rowOff>128587</xdr:rowOff>
    </xdr:from>
    <xdr:to>
      <xdr:col>18</xdr:col>
      <xdr:colOff>280987</xdr:colOff>
      <xdr:row>58</xdr:row>
      <xdr:rowOff>14287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06BDA35-507E-682A-A9D8-530B5E995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161925</xdr:colOff>
      <xdr:row>45</xdr:row>
      <xdr:rowOff>138112</xdr:rowOff>
    </xdr:from>
    <xdr:to>
      <xdr:col>26</xdr:col>
      <xdr:colOff>466725</xdr:colOff>
      <xdr:row>60</xdr:row>
      <xdr:rowOff>23812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DB1376B-D6AA-3CBD-542E-A0B705C0C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200025</xdr:colOff>
      <xdr:row>54</xdr:row>
      <xdr:rowOff>109537</xdr:rowOff>
    </xdr:from>
    <xdr:to>
      <xdr:col>18</xdr:col>
      <xdr:colOff>504825</xdr:colOff>
      <xdr:row>68</xdr:row>
      <xdr:rowOff>185737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AD3D086-6276-1EA2-6641-EF7CF0B07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595312</xdr:colOff>
      <xdr:row>61</xdr:row>
      <xdr:rowOff>80962</xdr:rowOff>
    </xdr:from>
    <xdr:to>
      <xdr:col>27</xdr:col>
      <xdr:colOff>290512</xdr:colOff>
      <xdr:row>75</xdr:row>
      <xdr:rowOff>157162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A34C3AA-C2D0-A58D-9F9D-0A1708519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266700</xdr:colOff>
      <xdr:row>64</xdr:row>
      <xdr:rowOff>52387</xdr:rowOff>
    </xdr:from>
    <xdr:to>
      <xdr:col>18</xdr:col>
      <xdr:colOff>571500</xdr:colOff>
      <xdr:row>77</xdr:row>
      <xdr:rowOff>128587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99144DB-366A-2D12-33FA-28617886D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128587</xdr:colOff>
      <xdr:row>77</xdr:row>
      <xdr:rowOff>119062</xdr:rowOff>
    </xdr:from>
    <xdr:to>
      <xdr:col>18</xdr:col>
      <xdr:colOff>433387</xdr:colOff>
      <xdr:row>91</xdr:row>
      <xdr:rowOff>4762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B494161-B67A-2D60-AFB9-3CFF6A3CF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123825</xdr:colOff>
      <xdr:row>77</xdr:row>
      <xdr:rowOff>42862</xdr:rowOff>
    </xdr:from>
    <xdr:to>
      <xdr:col>26</xdr:col>
      <xdr:colOff>428625</xdr:colOff>
      <xdr:row>91</xdr:row>
      <xdr:rowOff>119062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FC253D6-BFD2-28EB-FD03-BD821EB94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1CEB-4C0C-4C53-B885-309DBA36FC66}">
  <dimension ref="A1:AB82"/>
  <sheetViews>
    <sheetView tabSelected="1" zoomScaleNormal="100" zoomScalePageLayoutView="106" workbookViewId="0">
      <selection activeCell="F8" sqref="F8:H8"/>
    </sheetView>
  </sheetViews>
  <sheetFormatPr defaultRowHeight="15" x14ac:dyDescent="0.25"/>
  <cols>
    <col min="1" max="1" width="20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14</v>
      </c>
      <c r="I1" t="s">
        <v>26</v>
      </c>
      <c r="J1" t="s">
        <v>97</v>
      </c>
      <c r="K1" t="s">
        <v>98</v>
      </c>
      <c r="AB1">
        <v>0</v>
      </c>
    </row>
    <row r="2" spans="1:28" x14ac:dyDescent="0.25">
      <c r="A2" t="s">
        <v>5</v>
      </c>
      <c r="B2" t="s">
        <v>6</v>
      </c>
      <c r="C2" t="s">
        <v>7</v>
      </c>
      <c r="D2" t="s">
        <v>7</v>
      </c>
      <c r="E2" t="s">
        <v>7</v>
      </c>
      <c r="F2">
        <v>223981</v>
      </c>
      <c r="G2">
        <v>1310</v>
      </c>
      <c r="H2">
        <v>780</v>
      </c>
    </row>
    <row r="3" spans="1:28" x14ac:dyDescent="0.25">
      <c r="A3" t="s">
        <v>8</v>
      </c>
      <c r="B3" t="s">
        <v>9</v>
      </c>
      <c r="C3" t="s">
        <v>7</v>
      </c>
      <c r="D3" t="s">
        <v>7</v>
      </c>
      <c r="E3" t="s">
        <v>7</v>
      </c>
      <c r="F3">
        <v>12766</v>
      </c>
      <c r="G3">
        <v>204</v>
      </c>
      <c r="H3">
        <v>0</v>
      </c>
    </row>
    <row r="4" spans="1:28" x14ac:dyDescent="0.25">
      <c r="A4" t="s">
        <v>10</v>
      </c>
      <c r="B4" t="s">
        <v>9</v>
      </c>
      <c r="C4" t="s">
        <v>7</v>
      </c>
      <c r="D4" t="s">
        <v>7</v>
      </c>
      <c r="E4" t="s">
        <v>7</v>
      </c>
      <c r="F4">
        <v>11625</v>
      </c>
      <c r="G4">
        <v>113</v>
      </c>
      <c r="H4">
        <v>36</v>
      </c>
    </row>
    <row r="5" spans="1:28" x14ac:dyDescent="0.25">
      <c r="A5" t="s">
        <v>33</v>
      </c>
      <c r="B5" t="s">
        <v>15</v>
      </c>
      <c r="C5">
        <v>0</v>
      </c>
      <c r="D5">
        <v>0</v>
      </c>
      <c r="E5">
        <v>0</v>
      </c>
      <c r="F5">
        <v>11137</v>
      </c>
      <c r="G5">
        <v>160</v>
      </c>
      <c r="H5">
        <v>0</v>
      </c>
    </row>
    <row r="6" spans="1:28" x14ac:dyDescent="0.25">
      <c r="A6" t="s">
        <v>34</v>
      </c>
      <c r="B6" t="s">
        <v>15</v>
      </c>
      <c r="C6">
        <f>(3/12)*2000</f>
        <v>500</v>
      </c>
      <c r="D6">
        <f>(3/12)*10</f>
        <v>2.5</v>
      </c>
      <c r="E6">
        <f>(3/12)*5</f>
        <v>1.25</v>
      </c>
      <c r="F6">
        <v>221488</v>
      </c>
      <c r="G6">
        <v>1632</v>
      </c>
      <c r="H6">
        <v>2894</v>
      </c>
    </row>
    <row r="7" spans="1:28" x14ac:dyDescent="0.25">
      <c r="A7" t="s">
        <v>35</v>
      </c>
      <c r="B7" t="s">
        <v>15</v>
      </c>
      <c r="C7">
        <f>(6/12)*2000</f>
        <v>1000</v>
      </c>
      <c r="D7">
        <f>(6/12)*10</f>
        <v>5</v>
      </c>
      <c r="E7">
        <f>(6/12)*5</f>
        <v>2.5</v>
      </c>
      <c r="F7">
        <v>429045</v>
      </c>
      <c r="G7">
        <v>3292</v>
      </c>
      <c r="H7">
        <v>5989</v>
      </c>
    </row>
    <row r="8" spans="1:28" x14ac:dyDescent="0.25">
      <c r="A8" t="s">
        <v>36</v>
      </c>
      <c r="B8" t="s">
        <v>15</v>
      </c>
      <c r="C8">
        <f>(9/12)*2000</f>
        <v>1500</v>
      </c>
      <c r="D8">
        <f>(9/12)*10</f>
        <v>7.5</v>
      </c>
      <c r="E8">
        <f>(9/12)*5</f>
        <v>3.75</v>
      </c>
      <c r="F8">
        <v>703697</v>
      </c>
      <c r="G8">
        <v>5269</v>
      </c>
      <c r="H8">
        <v>10122</v>
      </c>
      <c r="I8" t="s">
        <v>99</v>
      </c>
    </row>
    <row r="9" spans="1:28" x14ac:dyDescent="0.25">
      <c r="A9" s="1" t="s">
        <v>37</v>
      </c>
      <c r="B9" s="1" t="s">
        <v>15</v>
      </c>
      <c r="C9" s="1">
        <f>(12/12)*2000</f>
        <v>2000</v>
      </c>
      <c r="D9" s="1">
        <f>(12/12)*10</f>
        <v>10</v>
      </c>
      <c r="E9" s="1">
        <f>(12/12)*5</f>
        <v>5</v>
      </c>
      <c r="F9" s="1">
        <v>797913</v>
      </c>
      <c r="G9" s="1">
        <v>6129</v>
      </c>
      <c r="H9" s="1">
        <v>11493</v>
      </c>
    </row>
    <row r="10" spans="1:28" x14ac:dyDescent="0.25">
      <c r="A10" t="s">
        <v>38</v>
      </c>
      <c r="B10" t="s">
        <v>15</v>
      </c>
      <c r="C10">
        <f>(3/12)*20000</f>
        <v>5000</v>
      </c>
      <c r="D10">
        <f>(3/12)*100</f>
        <v>25</v>
      </c>
      <c r="E10">
        <f>(3/12)*50.2</f>
        <v>12.55</v>
      </c>
      <c r="F10">
        <v>1914944</v>
      </c>
      <c r="G10">
        <v>15319</v>
      </c>
      <c r="H10">
        <v>27945</v>
      </c>
    </row>
    <row r="11" spans="1:28" x14ac:dyDescent="0.25">
      <c r="A11" s="2" t="s">
        <v>46</v>
      </c>
      <c r="B11" s="2" t="s">
        <v>15</v>
      </c>
      <c r="C11">
        <f>(9/12)*2000</f>
        <v>1500</v>
      </c>
      <c r="D11">
        <f>(9/12)*10</f>
        <v>7.5</v>
      </c>
      <c r="E11">
        <f>(9/12)*5</f>
        <v>3.75</v>
      </c>
      <c r="F11">
        <v>668638</v>
      </c>
      <c r="G11">
        <v>5119</v>
      </c>
      <c r="H11">
        <v>9626</v>
      </c>
    </row>
    <row r="12" spans="1:28" x14ac:dyDescent="0.25">
      <c r="A12" t="s">
        <v>39</v>
      </c>
      <c r="B12" t="s">
        <v>15</v>
      </c>
      <c r="C12">
        <f>(6/12)*20000</f>
        <v>10000</v>
      </c>
      <c r="D12">
        <f>(6/12)*100</f>
        <v>50</v>
      </c>
      <c r="E12">
        <f>(6/12)*50.2</f>
        <v>25.1</v>
      </c>
      <c r="F12">
        <v>3533513</v>
      </c>
      <c r="G12">
        <v>30138</v>
      </c>
      <c r="H12">
        <v>53128</v>
      </c>
    </row>
    <row r="13" spans="1:28" x14ac:dyDescent="0.25">
      <c r="A13" t="s">
        <v>40</v>
      </c>
      <c r="B13" t="s">
        <v>15</v>
      </c>
      <c r="C13">
        <f>(9/12)*20000</f>
        <v>15000</v>
      </c>
      <c r="D13">
        <f>(9/12)*100</f>
        <v>75</v>
      </c>
      <c r="E13">
        <f>(9/12)*50.2</f>
        <v>37.650000000000006</v>
      </c>
      <c r="F13">
        <v>5075694</v>
      </c>
      <c r="G13">
        <v>45411</v>
      </c>
      <c r="H13">
        <v>78068</v>
      </c>
    </row>
    <row r="14" spans="1:28" x14ac:dyDescent="0.25">
      <c r="A14" t="s">
        <v>41</v>
      </c>
      <c r="B14" t="s">
        <v>15</v>
      </c>
      <c r="C14">
        <f>(12/12)*20000</f>
        <v>20000</v>
      </c>
      <c r="D14">
        <f>(12/12)*100</f>
        <v>100</v>
      </c>
      <c r="E14">
        <f>(12/12)*50.2</f>
        <v>50.2</v>
      </c>
      <c r="F14">
        <v>6512499</v>
      </c>
      <c r="G14">
        <v>61049</v>
      </c>
      <c r="H14">
        <v>104126</v>
      </c>
    </row>
    <row r="15" spans="1:28" x14ac:dyDescent="0.25">
      <c r="A15" t="s">
        <v>42</v>
      </c>
      <c r="B15" t="s">
        <v>15</v>
      </c>
      <c r="C15">
        <f>(3/12)*C18</f>
        <v>12525</v>
      </c>
      <c r="D15">
        <f>(3/12)*D18</f>
        <v>251.5</v>
      </c>
      <c r="E15">
        <f>(3/12)*500</f>
        <v>125</v>
      </c>
      <c r="F15">
        <v>4424657</v>
      </c>
      <c r="G15">
        <v>156866</v>
      </c>
      <c r="H15">
        <v>207456</v>
      </c>
    </row>
    <row r="16" spans="1:28" x14ac:dyDescent="0.25">
      <c r="A16" t="s">
        <v>43</v>
      </c>
      <c r="B16" t="s">
        <v>15</v>
      </c>
      <c r="C16">
        <f>(6/12)*C18</f>
        <v>25050</v>
      </c>
      <c r="D16">
        <f>(6/12)*D18</f>
        <v>503</v>
      </c>
      <c r="E16">
        <f>(6/12)*500</f>
        <v>250</v>
      </c>
      <c r="F16">
        <v>7771427</v>
      </c>
      <c r="G16">
        <v>303700</v>
      </c>
      <c r="H16">
        <v>361037</v>
      </c>
    </row>
    <row r="17" spans="1:11" x14ac:dyDescent="0.25">
      <c r="A17" t="s">
        <v>44</v>
      </c>
      <c r="B17" t="s">
        <v>15</v>
      </c>
      <c r="C17">
        <f>(9/12)*C18</f>
        <v>37575</v>
      </c>
      <c r="D17">
        <f>(9/12)*D18</f>
        <v>754.5</v>
      </c>
      <c r="E17">
        <f>(9/12)*500</f>
        <v>375</v>
      </c>
      <c r="F17">
        <v>10978143</v>
      </c>
      <c r="G17">
        <v>463486</v>
      </c>
      <c r="H17">
        <v>517192</v>
      </c>
    </row>
    <row r="18" spans="1:11" x14ac:dyDescent="0.25">
      <c r="A18" t="s">
        <v>45</v>
      </c>
      <c r="B18" t="s">
        <v>15</v>
      </c>
      <c r="C18">
        <v>50100</v>
      </c>
      <c r="D18">
        <v>1006</v>
      </c>
      <c r="E18">
        <f>(12/12)*500</f>
        <v>500</v>
      </c>
      <c r="F18">
        <v>13866861</v>
      </c>
      <c r="G18">
        <v>617911</v>
      </c>
      <c r="H18">
        <v>668878</v>
      </c>
    </row>
    <row r="19" spans="1:11" x14ac:dyDescent="0.25">
      <c r="A19" t="s">
        <v>11</v>
      </c>
      <c r="B19" t="s">
        <v>9</v>
      </c>
      <c r="C19" t="s">
        <v>7</v>
      </c>
      <c r="D19" t="s">
        <v>7</v>
      </c>
      <c r="E19" t="s">
        <v>7</v>
      </c>
      <c r="F19">
        <v>93637</v>
      </c>
      <c r="G19">
        <v>1194</v>
      </c>
      <c r="H19">
        <v>6380</v>
      </c>
    </row>
    <row r="20" spans="1:11" x14ac:dyDescent="0.25">
      <c r="A20" t="s">
        <v>32</v>
      </c>
      <c r="B20" t="s">
        <v>9</v>
      </c>
      <c r="C20" t="s">
        <v>7</v>
      </c>
      <c r="D20" t="s">
        <v>7</v>
      </c>
      <c r="E20" t="s">
        <v>7</v>
      </c>
      <c r="F20">
        <v>24952</v>
      </c>
      <c r="G20">
        <v>173</v>
      </c>
      <c r="H20">
        <v>1427</v>
      </c>
    </row>
    <row r="21" spans="1:11" x14ac:dyDescent="0.25">
      <c r="A21" s="1" t="s">
        <v>20</v>
      </c>
      <c r="B21" s="1" t="s">
        <v>19</v>
      </c>
      <c r="C21" s="1" t="s">
        <v>7</v>
      </c>
      <c r="D21" s="1" t="s">
        <v>7</v>
      </c>
      <c r="E21" s="1" t="s">
        <v>7</v>
      </c>
      <c r="F21" s="1">
        <v>742469</v>
      </c>
      <c r="G21" s="1">
        <v>6253</v>
      </c>
      <c r="H21" s="1">
        <v>12024</v>
      </c>
    </row>
    <row r="22" spans="1:11" x14ac:dyDescent="0.25">
      <c r="A22" t="s">
        <v>16</v>
      </c>
      <c r="B22" t="s">
        <v>9</v>
      </c>
      <c r="C22" t="s">
        <v>7</v>
      </c>
      <c r="D22" t="s">
        <v>7</v>
      </c>
      <c r="E22" t="s">
        <v>7</v>
      </c>
      <c r="F22">
        <v>20300</v>
      </c>
      <c r="G22">
        <v>169</v>
      </c>
      <c r="H22">
        <v>760</v>
      </c>
    </row>
    <row r="23" spans="1:11" x14ac:dyDescent="0.25">
      <c r="A23" t="s">
        <v>47</v>
      </c>
      <c r="B23" t="s">
        <v>22</v>
      </c>
      <c r="C23" t="s">
        <v>7</v>
      </c>
      <c r="D23" t="s">
        <v>7</v>
      </c>
      <c r="E23" t="s">
        <v>7</v>
      </c>
      <c r="F23">
        <v>11882643</v>
      </c>
      <c r="G23">
        <v>9039</v>
      </c>
      <c r="H23">
        <v>4755</v>
      </c>
      <c r="J23">
        <v>0</v>
      </c>
      <c r="K23">
        <f>H23</f>
        <v>4755</v>
      </c>
    </row>
    <row r="24" spans="1:11" x14ac:dyDescent="0.25">
      <c r="A24" t="s">
        <v>48</v>
      </c>
      <c r="B24" t="s">
        <v>22</v>
      </c>
      <c r="C24" t="s">
        <v>7</v>
      </c>
      <c r="D24" t="s">
        <v>7</v>
      </c>
      <c r="E24" t="s">
        <v>7</v>
      </c>
      <c r="F24">
        <v>12699978</v>
      </c>
      <c r="G24">
        <v>12441</v>
      </c>
      <c r="H24">
        <v>16133</v>
      </c>
      <c r="J24">
        <v>1</v>
      </c>
      <c r="K24">
        <f t="shared" ref="K24:K28" si="0">H24</f>
        <v>16133</v>
      </c>
    </row>
    <row r="25" spans="1:11" x14ac:dyDescent="0.25">
      <c r="A25" t="s">
        <v>49</v>
      </c>
      <c r="B25" t="s">
        <v>22</v>
      </c>
      <c r="C25" t="s">
        <v>7</v>
      </c>
      <c r="D25" t="s">
        <v>7</v>
      </c>
      <c r="E25" t="s">
        <v>7</v>
      </c>
      <c r="F25">
        <v>12449663</v>
      </c>
      <c r="G25">
        <v>16265</v>
      </c>
      <c r="H25">
        <v>15563</v>
      </c>
      <c r="J25">
        <v>2</v>
      </c>
      <c r="K25">
        <f t="shared" si="0"/>
        <v>15563</v>
      </c>
    </row>
    <row r="26" spans="1:11" x14ac:dyDescent="0.25">
      <c r="A26" t="s">
        <v>50</v>
      </c>
      <c r="B26" t="s">
        <v>22</v>
      </c>
      <c r="C26" t="s">
        <v>7</v>
      </c>
      <c r="D26" t="s">
        <v>7</v>
      </c>
      <c r="E26" t="s">
        <v>7</v>
      </c>
      <c r="F26">
        <v>9638868</v>
      </c>
      <c r="G26">
        <v>20991</v>
      </c>
      <c r="H26">
        <v>14602</v>
      </c>
      <c r="J26">
        <v>4</v>
      </c>
      <c r="K26">
        <f t="shared" si="0"/>
        <v>14602</v>
      </c>
    </row>
    <row r="27" spans="1:11" x14ac:dyDescent="0.25">
      <c r="A27" t="s">
        <v>51</v>
      </c>
      <c r="B27" t="s">
        <v>22</v>
      </c>
      <c r="C27" t="s">
        <v>7</v>
      </c>
      <c r="D27" t="s">
        <v>7</v>
      </c>
      <c r="E27" t="s">
        <v>7</v>
      </c>
      <c r="F27">
        <v>8634410</v>
      </c>
      <c r="G27">
        <v>15241</v>
      </c>
      <c r="H27">
        <v>18518</v>
      </c>
      <c r="J27">
        <v>6</v>
      </c>
      <c r="K27">
        <f t="shared" si="0"/>
        <v>18518</v>
      </c>
    </row>
    <row r="28" spans="1:11" x14ac:dyDescent="0.25">
      <c r="A28" t="s">
        <v>52</v>
      </c>
      <c r="B28" t="s">
        <v>22</v>
      </c>
      <c r="C28" t="s">
        <v>7</v>
      </c>
      <c r="D28" t="s">
        <v>7</v>
      </c>
      <c r="E28" t="s">
        <v>7</v>
      </c>
      <c r="F28">
        <v>13824662</v>
      </c>
      <c r="G28">
        <v>209645</v>
      </c>
      <c r="H28">
        <v>4783</v>
      </c>
      <c r="J28">
        <v>12</v>
      </c>
      <c r="K28">
        <f t="shared" si="0"/>
        <v>4783</v>
      </c>
    </row>
    <row r="29" spans="1:11" x14ac:dyDescent="0.25">
      <c r="A29" t="s">
        <v>53</v>
      </c>
      <c r="B29" t="s">
        <v>22</v>
      </c>
      <c r="C29" t="s">
        <v>7</v>
      </c>
      <c r="D29" t="s">
        <v>7</v>
      </c>
      <c r="E29" t="s">
        <v>7</v>
      </c>
      <c r="F29">
        <v>10334314</v>
      </c>
      <c r="G29">
        <v>23363</v>
      </c>
      <c r="H29">
        <v>4542</v>
      </c>
      <c r="J29">
        <v>24</v>
      </c>
      <c r="K29">
        <f>H29</f>
        <v>4542</v>
      </c>
    </row>
    <row r="30" spans="1:11" x14ac:dyDescent="0.25">
      <c r="A30" t="s">
        <v>54</v>
      </c>
      <c r="B30" t="s">
        <v>22</v>
      </c>
      <c r="C30" t="s">
        <v>7</v>
      </c>
      <c r="D30" t="s">
        <v>7</v>
      </c>
      <c r="E30" t="s">
        <v>7</v>
      </c>
      <c r="F30">
        <v>13205134</v>
      </c>
      <c r="G30">
        <v>38907</v>
      </c>
      <c r="H30">
        <v>2082</v>
      </c>
      <c r="J30">
        <v>0</v>
      </c>
      <c r="K30">
        <f t="shared" ref="K30:K68" si="1">H30</f>
        <v>2082</v>
      </c>
    </row>
    <row r="31" spans="1:11" x14ac:dyDescent="0.25">
      <c r="A31" t="s">
        <v>55</v>
      </c>
      <c r="B31" t="s">
        <v>22</v>
      </c>
      <c r="C31" t="s">
        <v>7</v>
      </c>
      <c r="D31" t="s">
        <v>7</v>
      </c>
      <c r="E31" t="s">
        <v>7</v>
      </c>
      <c r="F31">
        <v>12105372</v>
      </c>
      <c r="G31">
        <v>16299</v>
      </c>
      <c r="H31">
        <v>3955</v>
      </c>
      <c r="J31">
        <v>1</v>
      </c>
      <c r="K31">
        <f t="shared" si="1"/>
        <v>3955</v>
      </c>
    </row>
    <row r="32" spans="1:11" x14ac:dyDescent="0.25">
      <c r="A32" t="s">
        <v>56</v>
      </c>
      <c r="B32" t="s">
        <v>22</v>
      </c>
      <c r="C32" t="s">
        <v>7</v>
      </c>
      <c r="D32" t="s">
        <v>7</v>
      </c>
      <c r="E32" t="s">
        <v>7</v>
      </c>
      <c r="F32">
        <v>8209353</v>
      </c>
      <c r="G32">
        <v>19826</v>
      </c>
      <c r="H32">
        <v>4577</v>
      </c>
      <c r="J32">
        <v>2</v>
      </c>
      <c r="K32">
        <f t="shared" si="1"/>
        <v>4577</v>
      </c>
    </row>
    <row r="33" spans="1:11" x14ac:dyDescent="0.25">
      <c r="A33" s="1" t="s">
        <v>18</v>
      </c>
      <c r="B33" s="1" t="s">
        <v>19</v>
      </c>
      <c r="C33" s="1" t="s">
        <v>7</v>
      </c>
      <c r="D33" s="1" t="s">
        <v>7</v>
      </c>
      <c r="E33" s="1" t="s">
        <v>7</v>
      </c>
      <c r="F33" s="1">
        <v>734160</v>
      </c>
      <c r="G33" s="1">
        <v>6170</v>
      </c>
      <c r="H33" s="1">
        <v>11366</v>
      </c>
    </row>
    <row r="34" spans="1:11" x14ac:dyDescent="0.25">
      <c r="A34" t="s">
        <v>17</v>
      </c>
      <c r="B34" t="s">
        <v>9</v>
      </c>
      <c r="C34" t="s">
        <v>7</v>
      </c>
      <c r="D34" t="s">
        <v>7</v>
      </c>
      <c r="E34" t="s">
        <v>7</v>
      </c>
      <c r="F34">
        <v>25235</v>
      </c>
      <c r="G34">
        <v>112</v>
      </c>
      <c r="H34">
        <v>670</v>
      </c>
    </row>
    <row r="35" spans="1:11" x14ac:dyDescent="0.25">
      <c r="A35" t="s">
        <v>61</v>
      </c>
      <c r="B35" t="s">
        <v>22</v>
      </c>
      <c r="C35" t="s">
        <v>7</v>
      </c>
      <c r="D35" t="s">
        <v>7</v>
      </c>
      <c r="E35" t="s">
        <v>7</v>
      </c>
      <c r="F35">
        <v>10459577</v>
      </c>
      <c r="G35">
        <v>15311</v>
      </c>
      <c r="H35">
        <v>7734</v>
      </c>
      <c r="J35">
        <v>4</v>
      </c>
      <c r="K35">
        <f t="shared" si="1"/>
        <v>7734</v>
      </c>
    </row>
    <row r="36" spans="1:11" x14ac:dyDescent="0.25">
      <c r="A36" t="s">
        <v>62</v>
      </c>
      <c r="B36" t="s">
        <v>22</v>
      </c>
      <c r="C36" t="s">
        <v>7</v>
      </c>
      <c r="D36" t="s">
        <v>7</v>
      </c>
      <c r="E36" t="s">
        <v>7</v>
      </c>
      <c r="F36">
        <v>13627307</v>
      </c>
      <c r="G36">
        <v>14381</v>
      </c>
      <c r="H36">
        <v>3355</v>
      </c>
      <c r="J36">
        <v>6</v>
      </c>
      <c r="K36">
        <f t="shared" si="1"/>
        <v>3355</v>
      </c>
    </row>
    <row r="37" spans="1:11" x14ac:dyDescent="0.25">
      <c r="A37" t="s">
        <v>63</v>
      </c>
      <c r="B37" t="s">
        <v>22</v>
      </c>
      <c r="C37" t="s">
        <v>7</v>
      </c>
      <c r="D37" t="s">
        <v>7</v>
      </c>
      <c r="E37" t="s">
        <v>7</v>
      </c>
      <c r="F37">
        <v>14885685</v>
      </c>
      <c r="G37">
        <v>28979</v>
      </c>
      <c r="H37">
        <v>4314</v>
      </c>
      <c r="J37">
        <v>12</v>
      </c>
      <c r="K37">
        <f t="shared" si="1"/>
        <v>4314</v>
      </c>
    </row>
    <row r="38" spans="1:11" x14ac:dyDescent="0.25">
      <c r="A38" t="s">
        <v>64</v>
      </c>
      <c r="B38" t="s">
        <v>22</v>
      </c>
      <c r="C38" t="s">
        <v>7</v>
      </c>
      <c r="D38" t="s">
        <v>7</v>
      </c>
      <c r="E38" t="s">
        <v>7</v>
      </c>
      <c r="F38">
        <v>8165875</v>
      </c>
      <c r="G38">
        <v>32679</v>
      </c>
      <c r="H38">
        <v>3200</v>
      </c>
      <c r="J38">
        <v>24</v>
      </c>
      <c r="K38">
        <f t="shared" si="1"/>
        <v>3200</v>
      </c>
    </row>
    <row r="39" spans="1:11" x14ac:dyDescent="0.25">
      <c r="A39" t="s">
        <v>65</v>
      </c>
      <c r="B39" t="s">
        <v>22</v>
      </c>
      <c r="C39" t="s">
        <v>7</v>
      </c>
      <c r="D39" t="s">
        <v>7</v>
      </c>
      <c r="E39" t="s">
        <v>7</v>
      </c>
      <c r="F39">
        <v>5371244</v>
      </c>
      <c r="G39">
        <v>53707</v>
      </c>
      <c r="H39">
        <v>2509</v>
      </c>
      <c r="J39">
        <v>0</v>
      </c>
      <c r="K39">
        <f t="shared" si="1"/>
        <v>2509</v>
      </c>
    </row>
    <row r="40" spans="1:11" x14ac:dyDescent="0.25">
      <c r="A40" t="s">
        <v>66</v>
      </c>
      <c r="B40" t="s">
        <v>22</v>
      </c>
      <c r="C40" t="s">
        <v>7</v>
      </c>
      <c r="D40" t="s">
        <v>7</v>
      </c>
      <c r="E40" t="s">
        <v>7</v>
      </c>
      <c r="F40">
        <v>5126519</v>
      </c>
      <c r="G40">
        <v>53962</v>
      </c>
      <c r="H40">
        <v>3772</v>
      </c>
      <c r="J40">
        <v>1</v>
      </c>
      <c r="K40">
        <f t="shared" si="1"/>
        <v>3772</v>
      </c>
    </row>
    <row r="41" spans="1:11" x14ac:dyDescent="0.25">
      <c r="A41" t="s">
        <v>67</v>
      </c>
      <c r="B41" t="s">
        <v>22</v>
      </c>
      <c r="C41" t="s">
        <v>7</v>
      </c>
      <c r="D41" t="s">
        <v>7</v>
      </c>
      <c r="E41" t="s">
        <v>7</v>
      </c>
      <c r="F41">
        <v>9416975</v>
      </c>
      <c r="G41">
        <v>18608</v>
      </c>
      <c r="H41">
        <v>1547</v>
      </c>
      <c r="J41">
        <v>2</v>
      </c>
      <c r="K41">
        <f t="shared" si="1"/>
        <v>1547</v>
      </c>
    </row>
    <row r="42" spans="1:11" x14ac:dyDescent="0.25">
      <c r="A42" t="s">
        <v>68</v>
      </c>
      <c r="B42" t="s">
        <v>22</v>
      </c>
      <c r="C42" t="s">
        <v>7</v>
      </c>
      <c r="D42" t="s">
        <v>7</v>
      </c>
      <c r="E42" t="s">
        <v>7</v>
      </c>
      <c r="F42">
        <v>6236224</v>
      </c>
      <c r="G42">
        <v>13669</v>
      </c>
      <c r="H42">
        <v>3779</v>
      </c>
      <c r="J42">
        <v>4</v>
      </c>
      <c r="K42">
        <f t="shared" si="1"/>
        <v>3779</v>
      </c>
    </row>
    <row r="43" spans="1:11" x14ac:dyDescent="0.25">
      <c r="A43" t="s">
        <v>69</v>
      </c>
      <c r="B43" t="s">
        <v>22</v>
      </c>
      <c r="C43" t="s">
        <v>7</v>
      </c>
      <c r="D43" t="s">
        <v>7</v>
      </c>
      <c r="E43" t="s">
        <v>7</v>
      </c>
      <c r="F43">
        <v>9036007</v>
      </c>
      <c r="G43">
        <v>53026</v>
      </c>
      <c r="H43">
        <v>4236</v>
      </c>
      <c r="J43">
        <v>6</v>
      </c>
      <c r="K43">
        <f t="shared" si="1"/>
        <v>4236</v>
      </c>
    </row>
    <row r="44" spans="1:11" x14ac:dyDescent="0.25">
      <c r="A44" t="s">
        <v>70</v>
      </c>
      <c r="B44" t="s">
        <v>22</v>
      </c>
      <c r="C44" t="s">
        <v>7</v>
      </c>
      <c r="D44" t="s">
        <v>7</v>
      </c>
      <c r="E44" t="s">
        <v>7</v>
      </c>
      <c r="F44">
        <v>11442437</v>
      </c>
      <c r="G44">
        <v>81145</v>
      </c>
      <c r="H44">
        <v>9279</v>
      </c>
      <c r="J44">
        <v>12</v>
      </c>
      <c r="K44">
        <f t="shared" si="1"/>
        <v>9279</v>
      </c>
    </row>
    <row r="45" spans="1:11" x14ac:dyDescent="0.25">
      <c r="A45" s="1" t="s">
        <v>24</v>
      </c>
      <c r="B45" s="1" t="s">
        <v>19</v>
      </c>
      <c r="C45" s="1" t="s">
        <v>7</v>
      </c>
      <c r="D45" s="1" t="s">
        <v>7</v>
      </c>
      <c r="E45" s="1" t="s">
        <v>7</v>
      </c>
      <c r="F45" s="1">
        <v>720851</v>
      </c>
      <c r="G45" s="1">
        <v>6375</v>
      </c>
      <c r="H45" s="1">
        <v>9312</v>
      </c>
    </row>
    <row r="46" spans="1:11" x14ac:dyDescent="0.25">
      <c r="A46" t="s">
        <v>21</v>
      </c>
      <c r="B46" t="s">
        <v>9</v>
      </c>
      <c r="C46" t="s">
        <v>7</v>
      </c>
      <c r="D46" t="s">
        <v>7</v>
      </c>
      <c r="E46" t="s">
        <v>7</v>
      </c>
      <c r="F46">
        <v>24246</v>
      </c>
      <c r="G46">
        <v>146</v>
      </c>
      <c r="H46">
        <v>109</v>
      </c>
    </row>
    <row r="47" spans="1:11" x14ac:dyDescent="0.25">
      <c r="A47" t="s">
        <v>71</v>
      </c>
      <c r="B47" t="s">
        <v>22</v>
      </c>
      <c r="C47" t="s">
        <v>7</v>
      </c>
      <c r="D47" t="s">
        <v>7</v>
      </c>
      <c r="E47" t="s">
        <v>7</v>
      </c>
      <c r="F47">
        <v>9969712</v>
      </c>
      <c r="G47">
        <v>12162</v>
      </c>
      <c r="H47">
        <v>7319</v>
      </c>
      <c r="J47">
        <v>24</v>
      </c>
      <c r="K47">
        <f t="shared" si="1"/>
        <v>7319</v>
      </c>
    </row>
    <row r="48" spans="1:11" x14ac:dyDescent="0.25">
      <c r="A48" t="s">
        <v>72</v>
      </c>
      <c r="B48" t="s">
        <v>22</v>
      </c>
      <c r="C48" t="s">
        <v>7</v>
      </c>
      <c r="D48" t="s">
        <v>7</v>
      </c>
      <c r="E48" t="s">
        <v>7</v>
      </c>
      <c r="F48">
        <v>6518284</v>
      </c>
      <c r="G48">
        <v>60281</v>
      </c>
      <c r="H48">
        <v>2854</v>
      </c>
      <c r="J48">
        <v>0</v>
      </c>
      <c r="K48">
        <f t="shared" si="1"/>
        <v>2854</v>
      </c>
    </row>
    <row r="49" spans="1:11" x14ac:dyDescent="0.25">
      <c r="A49" t="s">
        <v>73</v>
      </c>
      <c r="B49" t="s">
        <v>22</v>
      </c>
      <c r="C49" t="s">
        <v>7</v>
      </c>
      <c r="D49" t="s">
        <v>7</v>
      </c>
      <c r="E49" t="s">
        <v>7</v>
      </c>
      <c r="F49">
        <v>6413839</v>
      </c>
      <c r="G49">
        <v>23715</v>
      </c>
      <c r="H49">
        <v>2920</v>
      </c>
      <c r="J49">
        <v>1</v>
      </c>
      <c r="K49">
        <f t="shared" si="1"/>
        <v>2920</v>
      </c>
    </row>
    <row r="50" spans="1:11" x14ac:dyDescent="0.25">
      <c r="A50" t="s">
        <v>74</v>
      </c>
      <c r="B50" t="s">
        <v>22</v>
      </c>
      <c r="C50" t="s">
        <v>7</v>
      </c>
      <c r="D50" t="s">
        <v>7</v>
      </c>
      <c r="E50" t="s">
        <v>7</v>
      </c>
      <c r="F50">
        <v>6051013</v>
      </c>
      <c r="G50">
        <v>105391</v>
      </c>
      <c r="H50">
        <v>3410</v>
      </c>
      <c r="J50">
        <v>2</v>
      </c>
      <c r="K50">
        <f t="shared" si="1"/>
        <v>3410</v>
      </c>
    </row>
    <row r="51" spans="1:11" x14ac:dyDescent="0.25">
      <c r="A51" t="s">
        <v>57</v>
      </c>
      <c r="B51" t="s">
        <v>22</v>
      </c>
      <c r="C51" t="s">
        <v>7</v>
      </c>
      <c r="D51" t="s">
        <v>7</v>
      </c>
      <c r="E51" t="s">
        <v>7</v>
      </c>
      <c r="F51">
        <v>11061221</v>
      </c>
      <c r="G51">
        <v>69014</v>
      </c>
      <c r="H51">
        <v>11385</v>
      </c>
      <c r="J51">
        <v>4</v>
      </c>
      <c r="K51">
        <f t="shared" si="1"/>
        <v>11385</v>
      </c>
    </row>
    <row r="52" spans="1:11" x14ac:dyDescent="0.25">
      <c r="A52" t="s">
        <v>58</v>
      </c>
      <c r="B52" t="s">
        <v>22</v>
      </c>
      <c r="C52" t="s">
        <v>7</v>
      </c>
      <c r="D52" t="s">
        <v>7</v>
      </c>
      <c r="E52" t="s">
        <v>7</v>
      </c>
      <c r="F52">
        <v>10900040</v>
      </c>
      <c r="G52">
        <v>118947</v>
      </c>
      <c r="H52">
        <v>9779</v>
      </c>
      <c r="J52">
        <v>6</v>
      </c>
      <c r="K52">
        <f t="shared" si="1"/>
        <v>9779</v>
      </c>
    </row>
    <row r="53" spans="1:11" x14ac:dyDescent="0.25">
      <c r="A53" t="s">
        <v>59</v>
      </c>
      <c r="B53" t="s">
        <v>22</v>
      </c>
      <c r="C53" t="s">
        <v>7</v>
      </c>
      <c r="D53" t="s">
        <v>7</v>
      </c>
      <c r="E53" t="s">
        <v>7</v>
      </c>
      <c r="F53">
        <v>9105532</v>
      </c>
      <c r="G53">
        <v>104239</v>
      </c>
      <c r="H53">
        <v>10817</v>
      </c>
      <c r="J53">
        <v>12</v>
      </c>
      <c r="K53">
        <f t="shared" si="1"/>
        <v>10817</v>
      </c>
    </row>
    <row r="54" spans="1:11" x14ac:dyDescent="0.25">
      <c r="A54" t="s">
        <v>60</v>
      </c>
      <c r="B54" t="s">
        <v>22</v>
      </c>
      <c r="C54" t="s">
        <v>7</v>
      </c>
      <c r="D54" t="s">
        <v>7</v>
      </c>
      <c r="E54" t="s">
        <v>7</v>
      </c>
      <c r="F54">
        <v>16592482</v>
      </c>
      <c r="G54">
        <v>20427</v>
      </c>
      <c r="H54">
        <v>9991</v>
      </c>
      <c r="J54">
        <v>24</v>
      </c>
      <c r="K54">
        <f t="shared" si="1"/>
        <v>9991</v>
      </c>
    </row>
    <row r="55" spans="1:11" x14ac:dyDescent="0.25">
      <c r="A55" t="s">
        <v>75</v>
      </c>
      <c r="B55" t="s">
        <v>22</v>
      </c>
      <c r="C55" t="s">
        <v>7</v>
      </c>
      <c r="D55" t="s">
        <v>7</v>
      </c>
      <c r="E55" t="s">
        <v>7</v>
      </c>
      <c r="F55">
        <v>24237268</v>
      </c>
      <c r="G55">
        <v>25494</v>
      </c>
      <c r="H55">
        <v>11771</v>
      </c>
      <c r="J55">
        <v>0</v>
      </c>
      <c r="K55">
        <f t="shared" si="1"/>
        <v>11771</v>
      </c>
    </row>
    <row r="56" spans="1:11" x14ac:dyDescent="0.25">
      <c r="A56" t="s">
        <v>76</v>
      </c>
      <c r="B56" t="s">
        <v>22</v>
      </c>
      <c r="C56" t="s">
        <v>7</v>
      </c>
      <c r="D56" t="s">
        <v>7</v>
      </c>
      <c r="E56" t="s">
        <v>7</v>
      </c>
      <c r="F56">
        <v>17676214</v>
      </c>
      <c r="G56">
        <v>1598</v>
      </c>
      <c r="H56">
        <v>43017</v>
      </c>
      <c r="J56">
        <v>1</v>
      </c>
      <c r="K56">
        <f t="shared" si="1"/>
        <v>43017</v>
      </c>
    </row>
    <row r="57" spans="1:11" x14ac:dyDescent="0.25">
      <c r="A57" s="1" t="s">
        <v>28</v>
      </c>
      <c r="B57" s="1" t="s">
        <v>19</v>
      </c>
      <c r="C57" s="1" t="s">
        <v>7</v>
      </c>
      <c r="D57" s="1" t="s">
        <v>7</v>
      </c>
      <c r="E57" s="1" t="s">
        <v>7</v>
      </c>
      <c r="F57">
        <v>733575</v>
      </c>
      <c r="G57">
        <v>6186</v>
      </c>
      <c r="H57">
        <v>26026</v>
      </c>
    </row>
    <row r="58" spans="1:11" x14ac:dyDescent="0.25">
      <c r="A58" t="s">
        <v>23</v>
      </c>
      <c r="B58" t="s">
        <v>9</v>
      </c>
      <c r="C58" t="s">
        <v>7</v>
      </c>
      <c r="D58" t="s">
        <v>7</v>
      </c>
      <c r="E58" t="s">
        <v>7</v>
      </c>
      <c r="F58">
        <v>47337</v>
      </c>
      <c r="G58">
        <v>159</v>
      </c>
      <c r="H58">
        <v>513</v>
      </c>
    </row>
    <row r="59" spans="1:11" x14ac:dyDescent="0.25">
      <c r="A59" t="s">
        <v>77</v>
      </c>
      <c r="B59" t="s">
        <v>22</v>
      </c>
      <c r="C59" t="s">
        <v>7</v>
      </c>
      <c r="D59" t="s">
        <v>7</v>
      </c>
      <c r="E59" t="s">
        <v>7</v>
      </c>
      <c r="F59">
        <v>16683881</v>
      </c>
      <c r="G59">
        <v>10425</v>
      </c>
      <c r="H59">
        <v>40135</v>
      </c>
      <c r="J59">
        <v>2</v>
      </c>
      <c r="K59">
        <f t="shared" si="1"/>
        <v>40135</v>
      </c>
    </row>
    <row r="60" spans="1:11" x14ac:dyDescent="0.25">
      <c r="A60" t="s">
        <v>78</v>
      </c>
      <c r="B60" t="s">
        <v>22</v>
      </c>
      <c r="C60" t="s">
        <v>7</v>
      </c>
      <c r="D60" t="s">
        <v>7</v>
      </c>
      <c r="E60" t="s">
        <v>7</v>
      </c>
      <c r="F60">
        <v>22815140</v>
      </c>
      <c r="G60">
        <v>2653</v>
      </c>
      <c r="H60">
        <v>9020</v>
      </c>
      <c r="J60">
        <v>4</v>
      </c>
      <c r="K60">
        <f t="shared" si="1"/>
        <v>9020</v>
      </c>
    </row>
    <row r="61" spans="1:11" x14ac:dyDescent="0.25">
      <c r="A61" t="s">
        <v>79</v>
      </c>
      <c r="B61" t="s">
        <v>22</v>
      </c>
      <c r="C61" t="s">
        <v>7</v>
      </c>
      <c r="D61" t="s">
        <v>7</v>
      </c>
      <c r="E61" t="s">
        <v>7</v>
      </c>
      <c r="F61">
        <v>20548752</v>
      </c>
      <c r="G61">
        <v>2532</v>
      </c>
      <c r="H61">
        <v>123614</v>
      </c>
      <c r="J61">
        <v>6</v>
      </c>
      <c r="K61">
        <f t="shared" si="1"/>
        <v>123614</v>
      </c>
    </row>
    <row r="62" spans="1:11" x14ac:dyDescent="0.25">
      <c r="A62" t="s">
        <v>80</v>
      </c>
      <c r="B62" t="s">
        <v>22</v>
      </c>
      <c r="C62" t="s">
        <v>7</v>
      </c>
      <c r="D62" t="s">
        <v>7</v>
      </c>
      <c r="E62" t="s">
        <v>7</v>
      </c>
      <c r="F62">
        <v>19396873</v>
      </c>
      <c r="G62">
        <v>5737</v>
      </c>
      <c r="H62">
        <v>125125</v>
      </c>
      <c r="J62">
        <v>12</v>
      </c>
      <c r="K62">
        <f t="shared" si="1"/>
        <v>125125</v>
      </c>
    </row>
    <row r="63" spans="1:11" x14ac:dyDescent="0.25">
      <c r="A63" t="s">
        <v>81</v>
      </c>
      <c r="B63" t="s">
        <v>22</v>
      </c>
      <c r="C63" t="s">
        <v>7</v>
      </c>
      <c r="D63" t="s">
        <v>7</v>
      </c>
      <c r="E63" t="s">
        <v>7</v>
      </c>
      <c r="F63">
        <v>20891785</v>
      </c>
      <c r="G63">
        <v>5514</v>
      </c>
      <c r="H63">
        <v>166733</v>
      </c>
      <c r="J63">
        <v>24</v>
      </c>
      <c r="K63">
        <f t="shared" si="1"/>
        <v>166733</v>
      </c>
    </row>
    <row r="64" spans="1:11" x14ac:dyDescent="0.25">
      <c r="A64" t="s">
        <v>82</v>
      </c>
      <c r="B64" t="s">
        <v>22</v>
      </c>
      <c r="C64" t="s">
        <v>7</v>
      </c>
      <c r="D64" t="s">
        <v>7</v>
      </c>
      <c r="E64" t="s">
        <v>7</v>
      </c>
      <c r="F64">
        <v>15001928</v>
      </c>
      <c r="G64">
        <v>2405</v>
      </c>
      <c r="H64">
        <v>30326</v>
      </c>
      <c r="J64">
        <v>0</v>
      </c>
      <c r="K64">
        <f t="shared" si="1"/>
        <v>30326</v>
      </c>
    </row>
    <row r="65" spans="1:11" x14ac:dyDescent="0.25">
      <c r="A65" t="s">
        <v>83</v>
      </c>
      <c r="B65" t="s">
        <v>22</v>
      </c>
      <c r="C65" t="s">
        <v>7</v>
      </c>
      <c r="D65" t="s">
        <v>7</v>
      </c>
      <c r="E65" t="s">
        <v>7</v>
      </c>
      <c r="F65">
        <v>13900178</v>
      </c>
      <c r="G65">
        <v>3445</v>
      </c>
      <c r="H65">
        <v>30847</v>
      </c>
      <c r="J65">
        <v>1</v>
      </c>
      <c r="K65">
        <f t="shared" si="1"/>
        <v>30847</v>
      </c>
    </row>
    <row r="66" spans="1:11" x14ac:dyDescent="0.25">
      <c r="A66" t="s">
        <v>84</v>
      </c>
      <c r="B66" t="s">
        <v>22</v>
      </c>
      <c r="C66" t="s">
        <v>7</v>
      </c>
      <c r="D66" t="s">
        <v>7</v>
      </c>
      <c r="E66" t="s">
        <v>7</v>
      </c>
      <c r="F66">
        <v>13900178</v>
      </c>
      <c r="G66">
        <v>3445</v>
      </c>
      <c r="H66">
        <v>30585</v>
      </c>
      <c r="J66">
        <v>2</v>
      </c>
      <c r="K66">
        <f t="shared" si="1"/>
        <v>30585</v>
      </c>
    </row>
    <row r="67" spans="1:11" x14ac:dyDescent="0.25">
      <c r="A67" t="s">
        <v>85</v>
      </c>
      <c r="B67" t="s">
        <v>22</v>
      </c>
      <c r="C67" t="s">
        <v>7</v>
      </c>
      <c r="D67" t="s">
        <v>7</v>
      </c>
      <c r="E67" t="s">
        <v>7</v>
      </c>
      <c r="F67">
        <v>12992109</v>
      </c>
      <c r="G67">
        <v>22758</v>
      </c>
      <c r="H67">
        <v>22469</v>
      </c>
      <c r="J67">
        <v>4</v>
      </c>
      <c r="K67">
        <f t="shared" si="1"/>
        <v>22469</v>
      </c>
    </row>
    <row r="68" spans="1:11" x14ac:dyDescent="0.25">
      <c r="A68" t="s">
        <v>86</v>
      </c>
      <c r="B68" t="s">
        <v>22</v>
      </c>
      <c r="C68" t="s">
        <v>7</v>
      </c>
      <c r="D68" t="s">
        <v>7</v>
      </c>
      <c r="E68" t="s">
        <v>7</v>
      </c>
      <c r="F68">
        <v>11026746</v>
      </c>
      <c r="G68">
        <v>2759</v>
      </c>
      <c r="H68">
        <v>32088</v>
      </c>
      <c r="J68">
        <v>6</v>
      </c>
      <c r="K68">
        <f t="shared" si="1"/>
        <v>32088</v>
      </c>
    </row>
    <row r="69" spans="1:11" x14ac:dyDescent="0.25">
      <c r="A69" s="1" t="s">
        <v>29</v>
      </c>
      <c r="B69" s="1" t="s">
        <v>19</v>
      </c>
      <c r="C69" s="1" t="s">
        <v>7</v>
      </c>
      <c r="D69" s="1" t="s">
        <v>7</v>
      </c>
      <c r="E69" s="1" t="s">
        <v>7</v>
      </c>
      <c r="F69">
        <v>675836</v>
      </c>
      <c r="G69">
        <v>6013</v>
      </c>
      <c r="H69">
        <v>40100</v>
      </c>
    </row>
    <row r="70" spans="1:11" x14ac:dyDescent="0.25">
      <c r="A70" t="s">
        <v>25</v>
      </c>
      <c r="B70" t="s">
        <v>9</v>
      </c>
      <c r="C70" t="s">
        <v>7</v>
      </c>
      <c r="D70" t="s">
        <v>7</v>
      </c>
      <c r="E70" t="s">
        <v>7</v>
      </c>
      <c r="F70">
        <v>41277</v>
      </c>
      <c r="G70">
        <v>162</v>
      </c>
      <c r="H70">
        <v>637</v>
      </c>
    </row>
    <row r="71" spans="1:11" x14ac:dyDescent="0.25">
      <c r="A71" t="s">
        <v>87</v>
      </c>
      <c r="B71" t="s">
        <v>22</v>
      </c>
      <c r="C71" t="s">
        <v>7</v>
      </c>
      <c r="D71" t="s">
        <v>7</v>
      </c>
      <c r="E71" t="s">
        <v>7</v>
      </c>
      <c r="F71">
        <v>10613616</v>
      </c>
      <c r="G71">
        <v>8913</v>
      </c>
      <c r="H71">
        <v>31663</v>
      </c>
      <c r="J71">
        <v>12</v>
      </c>
      <c r="K71">
        <f t="shared" ref="K71:K79" si="2">H71</f>
        <v>31663</v>
      </c>
    </row>
    <row r="72" spans="1:11" x14ac:dyDescent="0.25">
      <c r="A72" t="s">
        <v>88</v>
      </c>
      <c r="B72" t="s">
        <v>22</v>
      </c>
      <c r="C72" t="s">
        <v>7</v>
      </c>
      <c r="D72" t="s">
        <v>7</v>
      </c>
      <c r="E72" t="s">
        <v>7</v>
      </c>
      <c r="F72">
        <v>12288743</v>
      </c>
      <c r="G72">
        <v>42014</v>
      </c>
      <c r="H72">
        <v>53288</v>
      </c>
      <c r="J72">
        <v>24</v>
      </c>
      <c r="K72">
        <f t="shared" si="2"/>
        <v>53288</v>
      </c>
    </row>
    <row r="73" spans="1:11" x14ac:dyDescent="0.25">
      <c r="A73" t="s">
        <v>89</v>
      </c>
      <c r="B73" t="s">
        <v>22</v>
      </c>
      <c r="C73" t="s">
        <v>7</v>
      </c>
      <c r="D73" t="s">
        <v>7</v>
      </c>
      <c r="E73" t="s">
        <v>7</v>
      </c>
      <c r="F73">
        <v>13635571</v>
      </c>
      <c r="G73">
        <v>14240</v>
      </c>
      <c r="H73">
        <v>9798</v>
      </c>
      <c r="J73">
        <v>0</v>
      </c>
      <c r="K73">
        <f t="shared" si="2"/>
        <v>9798</v>
      </c>
    </row>
    <row r="74" spans="1:11" x14ac:dyDescent="0.25">
      <c r="A74" t="s">
        <v>90</v>
      </c>
      <c r="B74" t="s">
        <v>22</v>
      </c>
      <c r="C74" t="s">
        <v>7</v>
      </c>
      <c r="D74" t="s">
        <v>7</v>
      </c>
      <c r="E74" t="s">
        <v>7</v>
      </c>
      <c r="F74">
        <v>11934237</v>
      </c>
      <c r="G74">
        <v>1581</v>
      </c>
      <c r="H74">
        <v>40374</v>
      </c>
      <c r="J74">
        <v>1</v>
      </c>
      <c r="K74">
        <f t="shared" si="2"/>
        <v>40374</v>
      </c>
    </row>
    <row r="75" spans="1:11" x14ac:dyDescent="0.25">
      <c r="A75" t="s">
        <v>91</v>
      </c>
      <c r="B75" t="s">
        <v>22</v>
      </c>
      <c r="C75" t="s">
        <v>7</v>
      </c>
      <c r="D75" t="s">
        <v>7</v>
      </c>
      <c r="E75" t="s">
        <v>7</v>
      </c>
      <c r="F75">
        <v>14554337</v>
      </c>
      <c r="G75">
        <v>2037</v>
      </c>
      <c r="H75">
        <v>76865</v>
      </c>
      <c r="J75">
        <v>2</v>
      </c>
      <c r="K75">
        <f t="shared" si="2"/>
        <v>76865</v>
      </c>
    </row>
    <row r="76" spans="1:11" x14ac:dyDescent="0.25">
      <c r="A76" t="s">
        <v>92</v>
      </c>
      <c r="B76" t="s">
        <v>22</v>
      </c>
      <c r="C76" t="s">
        <v>7</v>
      </c>
      <c r="D76" t="s">
        <v>7</v>
      </c>
      <c r="E76" t="s">
        <v>7</v>
      </c>
      <c r="F76">
        <v>13687635</v>
      </c>
      <c r="G76">
        <v>52654</v>
      </c>
      <c r="H76">
        <v>69508</v>
      </c>
      <c r="J76">
        <v>4</v>
      </c>
      <c r="K76">
        <f t="shared" si="2"/>
        <v>69508</v>
      </c>
    </row>
    <row r="77" spans="1:11" x14ac:dyDescent="0.25">
      <c r="A77" t="s">
        <v>93</v>
      </c>
      <c r="B77" t="s">
        <v>22</v>
      </c>
      <c r="C77" t="s">
        <v>7</v>
      </c>
      <c r="D77" t="s">
        <v>7</v>
      </c>
      <c r="E77" t="s">
        <v>7</v>
      </c>
      <c r="F77">
        <v>15712495</v>
      </c>
      <c r="G77">
        <v>33381</v>
      </c>
      <c r="H77">
        <v>35815</v>
      </c>
      <c r="J77">
        <v>6</v>
      </c>
      <c r="K77">
        <f>H77</f>
        <v>35815</v>
      </c>
    </row>
    <row r="78" spans="1:11" x14ac:dyDescent="0.25">
      <c r="A78" t="s">
        <v>94</v>
      </c>
      <c r="B78" t="s">
        <v>22</v>
      </c>
      <c r="C78" t="s">
        <v>7</v>
      </c>
      <c r="D78" t="s">
        <v>7</v>
      </c>
      <c r="E78" t="s">
        <v>7</v>
      </c>
      <c r="F78">
        <v>17371770</v>
      </c>
      <c r="G78">
        <v>16636</v>
      </c>
      <c r="H78">
        <v>78707</v>
      </c>
      <c r="J78">
        <v>12</v>
      </c>
      <c r="K78">
        <f>H78</f>
        <v>78707</v>
      </c>
    </row>
    <row r="79" spans="1:11" x14ac:dyDescent="0.25">
      <c r="A79" t="s">
        <v>95</v>
      </c>
      <c r="B79" t="s">
        <v>22</v>
      </c>
      <c r="C79" t="s">
        <v>7</v>
      </c>
      <c r="D79" t="s">
        <v>7</v>
      </c>
      <c r="E79" t="s">
        <v>7</v>
      </c>
      <c r="F79">
        <v>11384420</v>
      </c>
      <c r="G79">
        <v>2515</v>
      </c>
      <c r="H79">
        <v>3328</v>
      </c>
      <c r="I79" t="s">
        <v>96</v>
      </c>
      <c r="J79">
        <v>24</v>
      </c>
      <c r="K79">
        <f t="shared" si="2"/>
        <v>3328</v>
      </c>
    </row>
    <row r="80" spans="1:11" x14ac:dyDescent="0.25">
      <c r="A80" s="1" t="s">
        <v>30</v>
      </c>
      <c r="B80" s="1" t="s">
        <v>19</v>
      </c>
      <c r="C80" s="1" t="s">
        <v>7</v>
      </c>
      <c r="D80" s="1" t="s">
        <v>7</v>
      </c>
      <c r="E80" s="1" t="s">
        <v>7</v>
      </c>
      <c r="F80">
        <v>652721</v>
      </c>
      <c r="G80">
        <v>6184</v>
      </c>
      <c r="H80">
        <v>11364</v>
      </c>
    </row>
    <row r="81" spans="1:8" x14ac:dyDescent="0.25">
      <c r="A81" t="s">
        <v>27</v>
      </c>
      <c r="B81" t="s">
        <v>9</v>
      </c>
      <c r="C81" t="s">
        <v>7</v>
      </c>
      <c r="D81" t="s">
        <v>7</v>
      </c>
      <c r="E81" t="s">
        <v>7</v>
      </c>
      <c r="F81">
        <v>27594</v>
      </c>
      <c r="G81">
        <v>142</v>
      </c>
      <c r="H81">
        <v>491</v>
      </c>
    </row>
    <row r="82" spans="1:8" x14ac:dyDescent="0.25">
      <c r="A82" t="s">
        <v>31</v>
      </c>
      <c r="B82" t="s">
        <v>9</v>
      </c>
      <c r="C82" t="s">
        <v>7</v>
      </c>
      <c r="D82" t="s">
        <v>7</v>
      </c>
      <c r="E82" t="s">
        <v>7</v>
      </c>
      <c r="F82">
        <v>22712</v>
      </c>
      <c r="G82">
        <v>129</v>
      </c>
      <c r="H82">
        <v>34</v>
      </c>
    </row>
  </sheetData>
  <phoneticPr fontId="1" type="noConversion"/>
  <conditionalFormatting sqref="F1:F1048576">
    <cfRule type="cellIs" dxfId="4" priority="19" operator="greaterThan">
      <formula>$F$18</formula>
    </cfRule>
    <cfRule type="cellIs" dxfId="3" priority="20" operator="greaterThan">
      <formula>$F$14</formula>
    </cfRule>
  </conditionalFormatting>
  <conditionalFormatting sqref="G1:G1048576">
    <cfRule type="cellIs" dxfId="2" priority="25" operator="greaterThan">
      <formula>$G$18</formula>
    </cfRule>
    <cfRule type="cellIs" dxfId="1" priority="26" operator="greaterThan">
      <formula>$G$14</formula>
    </cfRule>
  </conditionalFormatting>
  <conditionalFormatting sqref="H1:H1048576">
    <cfRule type="cellIs" dxfId="0" priority="1" operator="greaterThan">
      <formula>$H$18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Blakley, Brenden, D</dc:creator>
  <cp:lastModifiedBy>Giessner, Melanie</cp:lastModifiedBy>
  <dcterms:created xsi:type="dcterms:W3CDTF">2026-04-20T13:32:18Z</dcterms:created>
  <dcterms:modified xsi:type="dcterms:W3CDTF">2026-06-05T13:52:41Z</dcterms:modified>
</cp:coreProperties>
</file>