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madzuGC-2030\Documents\ShimadzuGC_Spreadsheets\STEEP\"/>
    </mc:Choice>
  </mc:AlternateContent>
  <xr:revisionPtr revIDLastSave="0" documentId="13_ncr:1_{6AE28888-40AA-4FA5-A8A2-3E41BCADA68A}" xr6:coauthVersionLast="47" xr6:coauthVersionMax="47" xr10:uidLastSave="{00000000-0000-0000-0000-000000000000}"/>
  <bookViews>
    <workbookView xWindow="-105" yWindow="0" windowWidth="16890" windowHeight="14745" xr2:uid="{BD91B5F2-2EE8-4BB9-9259-82C885726B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9" i="1" l="1"/>
  <c r="J60" i="1"/>
  <c r="J61" i="1"/>
  <c r="J62" i="1"/>
  <c r="J63" i="1"/>
  <c r="J64" i="1"/>
  <c r="J65" i="1"/>
  <c r="J66" i="1"/>
  <c r="J67" i="1"/>
  <c r="J71" i="1"/>
  <c r="J72" i="1"/>
  <c r="J73" i="1"/>
  <c r="J74" i="1"/>
  <c r="J75" i="1"/>
  <c r="J76" i="1"/>
  <c r="J77" i="1"/>
  <c r="J78" i="1"/>
  <c r="J70" i="1"/>
  <c r="J54" i="1"/>
  <c r="J55" i="1"/>
  <c r="J58" i="1"/>
  <c r="J47" i="1"/>
  <c r="J48" i="1"/>
  <c r="J49" i="1"/>
  <c r="J50" i="1"/>
  <c r="J51" i="1"/>
  <c r="J52" i="1"/>
  <c r="J53" i="1"/>
  <c r="J46" i="1"/>
  <c r="J38" i="1"/>
  <c r="J39" i="1"/>
  <c r="J40" i="1"/>
  <c r="J41" i="1"/>
  <c r="J42" i="1"/>
  <c r="J43" i="1"/>
  <c r="J34" i="1"/>
  <c r="J35" i="1"/>
  <c r="J36" i="1"/>
  <c r="J37" i="1"/>
  <c r="J29" i="1"/>
  <c r="J30" i="1"/>
  <c r="J31" i="1"/>
  <c r="J28" i="1"/>
  <c r="J23" i="1"/>
  <c r="J24" i="1"/>
  <c r="J25" i="1"/>
  <c r="J26" i="1"/>
  <c r="J27" i="1"/>
  <c r="J22" i="1"/>
  <c r="E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</calcChain>
</file>

<file path=xl/sharedStrings.xml><?xml version="1.0" encoding="utf-8"?>
<sst xmlns="http://schemas.openxmlformats.org/spreadsheetml/2006/main" count="372" uniqueCount="97">
  <si>
    <t>Sample ID</t>
  </si>
  <si>
    <t>Type</t>
  </si>
  <si>
    <t>Conc_CO2</t>
  </si>
  <si>
    <t>Conc_CH4</t>
  </si>
  <si>
    <t>Conc_N2O</t>
  </si>
  <si>
    <t>LabAir</t>
  </si>
  <si>
    <t>Lab air</t>
  </si>
  <si>
    <t>unknown</t>
  </si>
  <si>
    <t>Blank1</t>
  </si>
  <si>
    <t>Blank</t>
  </si>
  <si>
    <t>Blank2</t>
  </si>
  <si>
    <t>Blank3</t>
  </si>
  <si>
    <t>CO2_Area</t>
  </si>
  <si>
    <t>CH4_Area</t>
  </si>
  <si>
    <t>N2O_Area</t>
  </si>
  <si>
    <t>Standard</t>
  </si>
  <si>
    <t>Blank5</t>
  </si>
  <si>
    <t>Blank6</t>
  </si>
  <si>
    <t>ChkStd_12mLLowTri2</t>
  </si>
  <si>
    <t>ChkStd</t>
  </si>
  <si>
    <t>ChkStd_12mLLowTri1</t>
  </si>
  <si>
    <t>Blank7</t>
  </si>
  <si>
    <t>Sample</t>
  </si>
  <si>
    <t>Blank8</t>
  </si>
  <si>
    <t>ChkStd_12mLLowTri3</t>
  </si>
  <si>
    <t>Blank9</t>
  </si>
  <si>
    <t>Notes</t>
  </si>
  <si>
    <t>Blank10</t>
  </si>
  <si>
    <t>ChkStd_12mLLowTri4</t>
  </si>
  <si>
    <t>ChkStd_12mLLowTri5</t>
  </si>
  <si>
    <t>ChkStd_12mLLowTri6</t>
  </si>
  <si>
    <t>Blank11</t>
  </si>
  <si>
    <t>Blank4</t>
  </si>
  <si>
    <t>20260511_0ppm</t>
  </si>
  <si>
    <t>20260511_3mlLowTri</t>
  </si>
  <si>
    <t>20260511_6mlLowTri</t>
  </si>
  <si>
    <t>20260511_9mlLowTri</t>
  </si>
  <si>
    <t>20260511_12mlLowTri</t>
  </si>
  <si>
    <t>20260511_3mlMidTri</t>
  </si>
  <si>
    <t>20260511_6mlMidTri</t>
  </si>
  <si>
    <t>20260511_9mlMidTri</t>
  </si>
  <si>
    <t>20260511_12mlMidTri</t>
  </si>
  <si>
    <t>20260511_3mlHighTri</t>
  </si>
  <si>
    <t>20260511_6mlHighTri</t>
  </si>
  <si>
    <t>20260511_9mlHighTri</t>
  </si>
  <si>
    <t>20260511_12mlHighTri</t>
  </si>
  <si>
    <t>sample name 20260511_MSM_WC_B_T2</t>
  </si>
  <si>
    <t>GWI_UP_A_T0</t>
  </si>
  <si>
    <t>GWI_UP_A_T1</t>
  </si>
  <si>
    <t>GWI_UP_A_T2</t>
  </si>
  <si>
    <t>GWI_UP_A_T3</t>
  </si>
  <si>
    <t>GWI_UP_A_T4</t>
  </si>
  <si>
    <t>GWI_UP_A_T5</t>
  </si>
  <si>
    <t>GWI_UP_A_T6</t>
  </si>
  <si>
    <t>GWI_UP_B_T0</t>
  </si>
  <si>
    <t>GWI_UP_B_T1</t>
  </si>
  <si>
    <t>GWI_UP_B_T2</t>
  </si>
  <si>
    <t>GWI_UP_B_T3</t>
  </si>
  <si>
    <t>GWI_UP_B_T4</t>
  </si>
  <si>
    <t>GWI_UP_B_T5</t>
  </si>
  <si>
    <t>GWI_UP_B_T6</t>
  </si>
  <si>
    <t>GWI_UP_C_T0</t>
  </si>
  <si>
    <t>GWI_UP_C_T1</t>
  </si>
  <si>
    <t>GWI_UP_C_T2</t>
  </si>
  <si>
    <t>GWI_UP_C_T3</t>
  </si>
  <si>
    <t>GWI_UP_C_T4</t>
  </si>
  <si>
    <t>GWI_UP_C_T5</t>
  </si>
  <si>
    <t>GWI_UP_C_T6</t>
  </si>
  <si>
    <t>GWI_TR_A_T0</t>
  </si>
  <si>
    <t>GWI_TR_A_T1</t>
  </si>
  <si>
    <t>GWI_TR_A_T2</t>
  </si>
  <si>
    <t>GWI_TR_A_T3</t>
  </si>
  <si>
    <t>GWI_TR_A_T4</t>
  </si>
  <si>
    <t>GWI_TR_A_T5</t>
  </si>
  <si>
    <t>GWI_TR_A_T6</t>
  </si>
  <si>
    <t>GWI_TR_B_T0</t>
  </si>
  <si>
    <t>GWI_TR_B_T1</t>
  </si>
  <si>
    <t>GWI_TR_B_T2</t>
  </si>
  <si>
    <t>GWI_TR_B_T3</t>
  </si>
  <si>
    <t>GWI_TR_B_T4</t>
  </si>
  <si>
    <t>GWI_TR_B_T5</t>
  </si>
  <si>
    <t>GWI_TR_B_T6</t>
  </si>
  <si>
    <t>GWI_TR_C_T0</t>
  </si>
  <si>
    <t>GWI_TR_C_T1</t>
  </si>
  <si>
    <t>GWI_TR_C_T2</t>
  </si>
  <si>
    <t>GWI_TR_C_T3</t>
  </si>
  <si>
    <t>GWI_TR_C_T4</t>
  </si>
  <si>
    <t>GWI_TR_C_T5</t>
  </si>
  <si>
    <t>GWI_TR_C_T6</t>
  </si>
  <si>
    <t>GWI_WC_A_T0</t>
  </si>
  <si>
    <t>GWI_WC_A_T1</t>
  </si>
  <si>
    <t>GWI_WC_A_T2</t>
  </si>
  <si>
    <t>GWI_WC_A_T3</t>
  </si>
  <si>
    <t>GWI_WC_A_T4</t>
  </si>
  <si>
    <t>GWI_WC_A_T5</t>
  </si>
  <si>
    <t>GWI_WC_A_T6</t>
  </si>
  <si>
    <t>messed up data collection the 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</si>
</sst>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ont="1" applyFill="1"/>
    <xf numFmtId="0" fontId="0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Sheet1!$D$5:$D$17</c:f>
              <c:numCache>
                <c:formatCode>General</c:formatCode>
                <c:ptCount val="13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251.5</c:v>
                </c:pt>
                <c:pt idx="10">
                  <c:v>503</c:v>
                </c:pt>
                <c:pt idx="11">
                  <c:v>754.5</c:v>
                </c:pt>
                <c:pt idx="12">
                  <c:v>1006</c:v>
                </c:pt>
              </c:numCache>
            </c:numRef>
          </c:xVal>
          <c:yVal>
            <c:numRef>
              <c:f>Sheet1!$G$5:$G$17</c:f>
              <c:numCache>
                <c:formatCode>General</c:formatCode>
                <c:ptCount val="13"/>
                <c:pt idx="0">
                  <c:v>139</c:v>
                </c:pt>
                <c:pt idx="1">
                  <c:v>1719</c:v>
                </c:pt>
                <c:pt idx="2">
                  <c:v>3239</c:v>
                </c:pt>
                <c:pt idx="3">
                  <c:v>4667</c:v>
                </c:pt>
                <c:pt idx="4">
                  <c:v>6111</c:v>
                </c:pt>
                <c:pt idx="5">
                  <c:v>15857</c:v>
                </c:pt>
                <c:pt idx="6">
                  <c:v>31276</c:v>
                </c:pt>
                <c:pt idx="7">
                  <c:v>47817</c:v>
                </c:pt>
                <c:pt idx="8">
                  <c:v>61644</c:v>
                </c:pt>
                <c:pt idx="9">
                  <c:v>152014</c:v>
                </c:pt>
                <c:pt idx="10">
                  <c:v>309970</c:v>
                </c:pt>
                <c:pt idx="11">
                  <c:v>456267</c:v>
                </c:pt>
                <c:pt idx="12">
                  <c:v>615023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A5-4638-AD9B-7465033A3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069535"/>
        <c:axId val="1150070975"/>
      </c:scatterChart>
      <c:valAx>
        <c:axId val="115006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70975"/>
        <c:crosses val="autoZero"/>
        <c:crossBetween val="midCat"/>
      </c:valAx>
      <c:valAx>
        <c:axId val="115007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6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N2O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Sheet1!$E$5:$E$17</c:f>
              <c:numCache>
                <c:formatCode>General</c:formatCode>
                <c:ptCount val="13"/>
                <c:pt idx="0">
                  <c:v>0</c:v>
                </c:pt>
                <c:pt idx="1">
                  <c:v>1.25</c:v>
                </c:pt>
                <c:pt idx="2">
                  <c:v>2.5</c:v>
                </c:pt>
                <c:pt idx="3">
                  <c:v>3.75</c:v>
                </c:pt>
                <c:pt idx="4">
                  <c:v>5</c:v>
                </c:pt>
                <c:pt idx="5">
                  <c:v>12.55</c:v>
                </c:pt>
                <c:pt idx="6">
                  <c:v>25.1</c:v>
                </c:pt>
                <c:pt idx="7">
                  <c:v>37.650000000000006</c:v>
                </c:pt>
                <c:pt idx="8">
                  <c:v>50.2</c:v>
                </c:pt>
                <c:pt idx="9">
                  <c:v>125</c:v>
                </c:pt>
                <c:pt idx="10">
                  <c:v>250</c:v>
                </c:pt>
                <c:pt idx="11">
                  <c:v>375</c:v>
                </c:pt>
                <c:pt idx="12">
                  <c:v>500</c:v>
                </c:pt>
              </c:numCache>
            </c:numRef>
          </c:xVal>
          <c:yVal>
            <c:numRef>
              <c:f>Sheet1!$H$5:$H$17</c:f>
              <c:numCache>
                <c:formatCode>General</c:formatCode>
                <c:ptCount val="13"/>
                <c:pt idx="0">
                  <c:v>0</c:v>
                </c:pt>
                <c:pt idx="1">
                  <c:v>2878</c:v>
                </c:pt>
                <c:pt idx="2">
                  <c:v>5438</c:v>
                </c:pt>
                <c:pt idx="3">
                  <c:v>8051</c:v>
                </c:pt>
                <c:pt idx="4">
                  <c:v>10538</c:v>
                </c:pt>
                <c:pt idx="5">
                  <c:v>26375</c:v>
                </c:pt>
                <c:pt idx="6">
                  <c:v>50907</c:v>
                </c:pt>
                <c:pt idx="7">
                  <c:v>76291</c:v>
                </c:pt>
                <c:pt idx="8">
                  <c:v>97315</c:v>
                </c:pt>
                <c:pt idx="9">
                  <c:v>187829</c:v>
                </c:pt>
                <c:pt idx="10">
                  <c:v>346565</c:v>
                </c:pt>
                <c:pt idx="11">
                  <c:v>479759</c:v>
                </c:pt>
                <c:pt idx="12">
                  <c:v>619039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3-4451-9524-05D51C11F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971743"/>
        <c:axId val="1579970303"/>
      </c:scatterChart>
      <c:valAx>
        <c:axId val="157997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70303"/>
        <c:crosses val="autoZero"/>
        <c:crossBetween val="midCat"/>
      </c:valAx>
      <c:valAx>
        <c:axId val="157997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71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Sheet1!$C$5:$C$17</c:f>
              <c:numCache>
                <c:formatCode>General</c:formatCode>
                <c:ptCount val="13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  <c:pt idx="7">
                  <c:v>15000</c:v>
                </c:pt>
                <c:pt idx="8">
                  <c:v>20000</c:v>
                </c:pt>
                <c:pt idx="9">
                  <c:v>12525</c:v>
                </c:pt>
                <c:pt idx="10">
                  <c:v>25050</c:v>
                </c:pt>
                <c:pt idx="11">
                  <c:v>37575</c:v>
                </c:pt>
                <c:pt idx="12">
                  <c:v>50100</c:v>
                </c:pt>
              </c:numCache>
            </c:numRef>
          </c:xVal>
          <c:yVal>
            <c:numRef>
              <c:f>Sheet1!$F$5:$F$17</c:f>
              <c:numCache>
                <c:formatCode>General</c:formatCode>
                <c:ptCount val="13"/>
                <c:pt idx="0">
                  <c:v>9538</c:v>
                </c:pt>
                <c:pt idx="1">
                  <c:v>179609</c:v>
                </c:pt>
                <c:pt idx="2">
                  <c:v>335229</c:v>
                </c:pt>
                <c:pt idx="3">
                  <c:v>495459</c:v>
                </c:pt>
                <c:pt idx="4">
                  <c:v>644945</c:v>
                </c:pt>
                <c:pt idx="5">
                  <c:v>1598903</c:v>
                </c:pt>
                <c:pt idx="6">
                  <c:v>2998934</c:v>
                </c:pt>
                <c:pt idx="7">
                  <c:v>4372245</c:v>
                </c:pt>
                <c:pt idx="8">
                  <c:v>5439425</c:v>
                </c:pt>
                <c:pt idx="9">
                  <c:v>3613238</c:v>
                </c:pt>
                <c:pt idx="10">
                  <c:v>6641393</c:v>
                </c:pt>
                <c:pt idx="11">
                  <c:v>9158156</c:v>
                </c:pt>
                <c:pt idx="12">
                  <c:v>11702273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41-46B4-B51D-D1802EBF3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477439"/>
        <c:axId val="1150477919"/>
      </c:scatterChart>
      <c:valAx>
        <c:axId val="115047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477919"/>
        <c:crosses val="autoZero"/>
        <c:crossBetween val="midCat"/>
      </c:valAx>
      <c:valAx>
        <c:axId val="115047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477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GWI_UP_A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Sheet1!$I$22:$I$28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Sheet1!$J$22:$J$28</c:f>
              <c:numCache>
                <c:formatCode>General</c:formatCode>
                <c:ptCount val="7"/>
                <c:pt idx="0">
                  <c:v>3614</c:v>
                </c:pt>
                <c:pt idx="1">
                  <c:v>5542</c:v>
                </c:pt>
                <c:pt idx="2">
                  <c:v>11552</c:v>
                </c:pt>
                <c:pt idx="3">
                  <c:v>19622</c:v>
                </c:pt>
                <c:pt idx="4">
                  <c:v>77359</c:v>
                </c:pt>
                <c:pt idx="5">
                  <c:v>24336</c:v>
                </c:pt>
                <c:pt idx="6">
                  <c:v>41913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14-483E-BB2F-AAF9A3837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199967"/>
        <c:axId val="1160200447"/>
      </c:scatterChart>
      <c:valAx>
        <c:axId val="116019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00447"/>
        <c:crosses val="autoZero"/>
        <c:crossBetween val="midCat"/>
      </c:valAx>
      <c:valAx>
        <c:axId val="116020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9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GWI_UP_B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(Sheet1!$I$29:$I$31,Sheet1!$I$34:$I$37)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(Sheet1!$J$29:$J$31,Sheet1!$J$34:$J$37)</c:f>
              <c:numCache>
                <c:formatCode>General</c:formatCode>
                <c:ptCount val="7"/>
                <c:pt idx="0">
                  <c:v>3333</c:v>
                </c:pt>
                <c:pt idx="1">
                  <c:v>3986</c:v>
                </c:pt>
                <c:pt idx="2">
                  <c:v>10537</c:v>
                </c:pt>
                <c:pt idx="3">
                  <c:v>12255</c:v>
                </c:pt>
                <c:pt idx="4">
                  <c:v>7810</c:v>
                </c:pt>
                <c:pt idx="5">
                  <c:v>14460</c:v>
                </c:pt>
                <c:pt idx="6">
                  <c:v>18472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93-4D9C-A2BB-DD5650FB7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113167"/>
        <c:axId val="1628115087"/>
      </c:scatterChart>
      <c:valAx>
        <c:axId val="162811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15087"/>
        <c:crosses val="autoZero"/>
        <c:crossBetween val="midCat"/>
      </c:valAx>
      <c:valAx>
        <c:axId val="162811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13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GWI_UP_C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(Sheet1!$I$38:$I$43,Sheet1!$I$46)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(Sheet1!$J$38:$J$43,Sheet1!$J$46)</c:f>
              <c:numCache>
                <c:formatCode>General</c:formatCode>
                <c:ptCount val="7"/>
                <c:pt idx="0">
                  <c:v>3003</c:v>
                </c:pt>
                <c:pt idx="1">
                  <c:v>4136</c:v>
                </c:pt>
                <c:pt idx="2">
                  <c:v>13707</c:v>
                </c:pt>
                <c:pt idx="3">
                  <c:v>11807</c:v>
                </c:pt>
                <c:pt idx="4">
                  <c:v>28971</c:v>
                </c:pt>
                <c:pt idx="5">
                  <c:v>64209</c:v>
                </c:pt>
                <c:pt idx="6">
                  <c:v>15550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16-4F04-BA97-8E6DA80A6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8885440"/>
        <c:axId val="918878720"/>
      </c:scatterChart>
      <c:valAx>
        <c:axId val="91888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878720"/>
        <c:crosses val="autoZero"/>
        <c:crossBetween val="midCat"/>
      </c:valAx>
      <c:valAx>
        <c:axId val="91887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88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GWI_TR_A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Sheet1!$I$47:$I$53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Sheet1!$J$47:$J$53</c:f>
              <c:numCache>
                <c:formatCode>General</c:formatCode>
                <c:ptCount val="7"/>
                <c:pt idx="0">
                  <c:v>5939</c:v>
                </c:pt>
                <c:pt idx="1">
                  <c:v>22999</c:v>
                </c:pt>
                <c:pt idx="2">
                  <c:v>11526</c:v>
                </c:pt>
                <c:pt idx="3">
                  <c:v>6322</c:v>
                </c:pt>
                <c:pt idx="4">
                  <c:v>8737</c:v>
                </c:pt>
                <c:pt idx="5">
                  <c:v>10311</c:v>
                </c:pt>
                <c:pt idx="6">
                  <c:v>6203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F1-4ABD-8307-43E4CAA45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847727"/>
        <c:axId val="1116848207"/>
      </c:scatterChart>
      <c:valAx>
        <c:axId val="111684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848207"/>
        <c:crosses val="autoZero"/>
        <c:crossBetween val="midCat"/>
      </c:valAx>
      <c:valAx>
        <c:axId val="111684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84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GWI_TR_B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(Sheet1!$I$54:$I$55,Sheet1!$I$58:$I$62)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(Sheet1!$J$54:$J$55,Sheet1!$J$58:$J$62)</c:f>
              <c:numCache>
                <c:formatCode>General</c:formatCode>
                <c:ptCount val="7"/>
                <c:pt idx="0">
                  <c:v>4667</c:v>
                </c:pt>
                <c:pt idx="1">
                  <c:v>16956</c:v>
                </c:pt>
                <c:pt idx="2">
                  <c:v>8150</c:v>
                </c:pt>
                <c:pt idx="3">
                  <c:v>13618</c:v>
                </c:pt>
                <c:pt idx="4">
                  <c:v>4185</c:v>
                </c:pt>
                <c:pt idx="5">
                  <c:v>5153</c:v>
                </c:pt>
                <c:pt idx="6">
                  <c:v>5280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8-44BF-991C-AE48B97F3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700768"/>
        <c:axId val="878698848"/>
      </c:scatterChart>
      <c:valAx>
        <c:axId val="87870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698848"/>
        <c:crosses val="autoZero"/>
        <c:crossBetween val="midCat"/>
      </c:valAx>
      <c:valAx>
        <c:axId val="87869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70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GWI_TR_C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(Sheet1!$I$63:$I$67,Sheet1!$I$70:$I$71)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(Sheet1!$J$63:$J$67,Sheet1!$J$70:$J$71)</c:f>
              <c:numCache>
                <c:formatCode>General</c:formatCode>
                <c:ptCount val="7"/>
                <c:pt idx="0">
                  <c:v>13483</c:v>
                </c:pt>
                <c:pt idx="1">
                  <c:v>3381</c:v>
                </c:pt>
                <c:pt idx="2">
                  <c:v>31455</c:v>
                </c:pt>
                <c:pt idx="3">
                  <c:v>27450</c:v>
                </c:pt>
                <c:pt idx="4">
                  <c:v>67717</c:v>
                </c:pt>
                <c:pt idx="5">
                  <c:v>52652</c:v>
                </c:pt>
                <c:pt idx="6">
                  <c:v>28760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42-4CA0-8948-8CE3CB2EC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254592"/>
        <c:axId val="1622450351"/>
      </c:scatterChart>
      <c:valAx>
        <c:axId val="89125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50351"/>
        <c:crosses val="autoZero"/>
        <c:crossBetween val="midCat"/>
      </c:valAx>
      <c:valAx>
        <c:axId val="162245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5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GWI_WC_A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Sheet1!$I$72:$I$78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Sheet1!$J$72:$J$78</c:f>
              <c:numCache>
                <c:formatCode>General</c:formatCode>
                <c:ptCount val="7"/>
                <c:pt idx="0">
                  <c:v>19327</c:v>
                </c:pt>
                <c:pt idx="1">
                  <c:v>22993</c:v>
                </c:pt>
                <c:pt idx="2">
                  <c:v>17883</c:v>
                </c:pt>
                <c:pt idx="3">
                  <c:v>14811</c:v>
                </c:pt>
                <c:pt idx="4">
                  <c:v>8847</c:v>
                </c:pt>
                <c:pt idx="5">
                  <c:v>11679</c:v>
                </c:pt>
                <c:pt idx="6">
                  <c:v>18903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D-4616-AD69-3CE698EE3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977088"/>
        <c:axId val="911984288"/>
      </c:scatterChart>
      <c:valAx>
        <c:axId val="91197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984288"/>
        <c:crosses val="autoZero"/>
        <c:crossBetween val="midCat"/>
      </c:valAx>
      <c:valAx>
        <c:axId val="91198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97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N2O</a:t>
            </a:r>
            <a:r>
              <a:rPr lang="en-US" baseline="0"/>
              <a:t> 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Sheet1!$E$5:$E$9</c:f>
              <c:numCache>
                <c:formatCode>General</c:formatCode>
                <c:ptCount val="5"/>
                <c:pt idx="0">
                  <c:v>0</c:v>
                </c:pt>
                <c:pt idx="1">
                  <c:v>1.25</c:v>
                </c:pt>
                <c:pt idx="2">
                  <c:v>2.5</c:v>
                </c:pt>
                <c:pt idx="3">
                  <c:v>3.75</c:v>
                </c:pt>
                <c:pt idx="4">
                  <c:v>5</c:v>
                </c:pt>
              </c:numCache>
            </c:numRef>
          </c:xVal>
          <c:yVal>
            <c:numRef>
              <c:f>Sheet1!$H$5:$H$9</c:f>
              <c:numCache>
                <c:formatCode>General</c:formatCode>
                <c:ptCount val="5"/>
                <c:pt idx="0">
                  <c:v>0</c:v>
                </c:pt>
                <c:pt idx="1">
                  <c:v>2878</c:v>
                </c:pt>
                <c:pt idx="2">
                  <c:v>5438</c:v>
                </c:pt>
                <c:pt idx="3">
                  <c:v>8051</c:v>
                </c:pt>
                <c:pt idx="4">
                  <c:v>10538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57-42C7-BEA0-C010E487E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8230720"/>
        <c:axId val="1908230240"/>
      </c:scatterChart>
      <c:valAx>
        <c:axId val="190823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0240"/>
        <c:crosses val="autoZero"/>
        <c:crossBetween val="midCat"/>
      </c:valAx>
      <c:valAx>
        <c:axId val="190823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</a:t>
            </a:r>
            <a:r>
              <a:rPr lang="en-US" baseline="0"/>
              <a:t> 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Sheet1!$D$5:$D$9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</c:numCache>
            </c:numRef>
          </c:xVal>
          <c:yVal>
            <c:numRef>
              <c:f>Sheet1!$G$5:$G$9</c:f>
              <c:numCache>
                <c:formatCode>General</c:formatCode>
                <c:ptCount val="5"/>
                <c:pt idx="0">
                  <c:v>139</c:v>
                </c:pt>
                <c:pt idx="1">
                  <c:v>1719</c:v>
                </c:pt>
                <c:pt idx="2">
                  <c:v>3239</c:v>
                </c:pt>
                <c:pt idx="3">
                  <c:v>4667</c:v>
                </c:pt>
                <c:pt idx="4">
                  <c:v>6111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C8-467D-A72B-31F77E95B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4192112"/>
        <c:axId val="1904194032"/>
      </c:scatterChart>
      <c:valAx>
        <c:axId val="190419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194032"/>
        <c:crosses val="autoZero"/>
        <c:crossBetween val="midCat"/>
      </c:valAx>
      <c:valAx>
        <c:axId val="190419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19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Sheet1!$C$5:$C$9</c:f>
              <c:numCache>
                <c:formatCode>General</c:formatCode>
                <c:ptCount val="5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</c:numCache>
            </c:numRef>
          </c:xVal>
          <c:yVal>
            <c:numRef>
              <c:f>Sheet1!$F$5:$F$9</c:f>
              <c:numCache>
                <c:formatCode>General</c:formatCode>
                <c:ptCount val="5"/>
                <c:pt idx="0">
                  <c:v>9538</c:v>
                </c:pt>
                <c:pt idx="1">
                  <c:v>179609</c:v>
                </c:pt>
                <c:pt idx="2">
                  <c:v>335229</c:v>
                </c:pt>
                <c:pt idx="3">
                  <c:v>495459</c:v>
                </c:pt>
                <c:pt idx="4">
                  <c:v>644945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7D-4C84-A6E9-91D5641EE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136640"/>
        <c:axId val="1428138080"/>
      </c:scatterChart>
      <c:valAx>
        <c:axId val="142813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138080"/>
        <c:crosses val="autoZero"/>
        <c:crossBetween val="midCat"/>
      </c:valAx>
      <c:valAx>
        <c:axId val="142813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13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50801</xdr:colOff>
      <xdr:row>14</xdr:row>
      <xdr:rowOff>52387</xdr:rowOff>
    </xdr:from>
    <xdr:to>
      <xdr:col>18</xdr:col>
      <xdr:colOff>359834</xdr:colOff>
      <xdr:row>28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864D7A-7D9D-AA1E-57CA-46142C3B0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291041</xdr:colOff>
      <xdr:row>1</xdr:row>
      <xdr:rowOff>86253</xdr:rowOff>
    </xdr:from>
    <xdr:to>
      <xdr:col>17</xdr:col>
      <xdr:colOff>595842</xdr:colOff>
      <xdr:row>13</xdr:row>
      <xdr:rowOff>162453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62B5C1-D089-D76C-4AE4-5A6DAE9E1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284162</xdr:colOff>
      <xdr:row>28</xdr:row>
      <xdr:rowOff>129646</xdr:rowOff>
    </xdr:from>
    <xdr:to>
      <xdr:col>18</xdr:col>
      <xdr:colOff>588962</xdr:colOff>
      <xdr:row>43</xdr:row>
      <xdr:rowOff>15346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D831F5-A447-6E7F-C5F9-34767A607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35453</xdr:colOff>
      <xdr:row>42</xdr:row>
      <xdr:rowOff>128587</xdr:rowOff>
    </xdr:from>
    <xdr:to>
      <xdr:col>18</xdr:col>
      <xdr:colOff>344487</xdr:colOff>
      <xdr:row>57</xdr:row>
      <xdr:rowOff>14287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06BDA35-507E-682A-A9D8-530B5E995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13758</xdr:colOff>
      <xdr:row>47</xdr:row>
      <xdr:rowOff>180445</xdr:rowOff>
    </xdr:from>
    <xdr:to>
      <xdr:col>26</xdr:col>
      <xdr:colOff>318559</xdr:colOff>
      <xdr:row>62</xdr:row>
      <xdr:rowOff>66145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DB1376B-D6AA-3CBD-542E-A0B705C0C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295276</xdr:colOff>
      <xdr:row>56</xdr:row>
      <xdr:rowOff>162453</xdr:rowOff>
    </xdr:from>
    <xdr:to>
      <xdr:col>18</xdr:col>
      <xdr:colOff>600076</xdr:colOff>
      <xdr:row>71</xdr:row>
      <xdr:rowOff>48153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AD3D086-6276-1EA2-6641-EF7CF0B07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76728</xdr:colOff>
      <xdr:row>64</xdr:row>
      <xdr:rowOff>80962</xdr:rowOff>
    </xdr:from>
    <xdr:to>
      <xdr:col>26</xdr:col>
      <xdr:colOff>385762</xdr:colOff>
      <xdr:row>78</xdr:row>
      <xdr:rowOff>157162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A34C3AA-C2D0-A58D-9F9D-0A1708519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97367</xdr:colOff>
      <xdr:row>70</xdr:row>
      <xdr:rowOff>62969</xdr:rowOff>
    </xdr:from>
    <xdr:to>
      <xdr:col>18</xdr:col>
      <xdr:colOff>402167</xdr:colOff>
      <xdr:row>83</xdr:row>
      <xdr:rowOff>139169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99144DB-366A-2D12-33FA-28617886D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329671</xdr:colOff>
      <xdr:row>82</xdr:row>
      <xdr:rowOff>171979</xdr:rowOff>
    </xdr:from>
    <xdr:to>
      <xdr:col>18</xdr:col>
      <xdr:colOff>20638</xdr:colOff>
      <xdr:row>96</xdr:row>
      <xdr:rowOff>57679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B494161-B67A-2D60-AFB9-3CFF6A3CF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303741</xdr:colOff>
      <xdr:row>81</xdr:row>
      <xdr:rowOff>21695</xdr:rowOff>
    </xdr:from>
    <xdr:to>
      <xdr:col>26</xdr:col>
      <xdr:colOff>608542</xdr:colOff>
      <xdr:row>95</xdr:row>
      <xdr:rowOff>97895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FC253D6-BFD2-28EB-FD03-BD821EB94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385762</xdr:colOff>
      <xdr:row>0</xdr:row>
      <xdr:rowOff>157162</xdr:rowOff>
    </xdr:from>
    <xdr:to>
      <xdr:col>24</xdr:col>
      <xdr:colOff>80962</xdr:colOff>
      <xdr:row>11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AA2826-A749-A658-5A14-8DC665E6E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138112</xdr:colOff>
      <xdr:row>12</xdr:row>
      <xdr:rowOff>128587</xdr:rowOff>
    </xdr:from>
    <xdr:to>
      <xdr:col>25</xdr:col>
      <xdr:colOff>442912</xdr:colOff>
      <xdr:row>27</xdr:row>
      <xdr:rowOff>14287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64EFB8-BC20-2E7E-6B14-24C7495B0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604837</xdr:colOff>
      <xdr:row>28</xdr:row>
      <xdr:rowOff>109537</xdr:rowOff>
    </xdr:from>
    <xdr:to>
      <xdr:col>25</xdr:col>
      <xdr:colOff>300037</xdr:colOff>
      <xdr:row>42</xdr:row>
      <xdr:rowOff>185737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DB302F4-08B6-AAB9-7272-9A0D4EB3D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1CEB-4C0C-4C53-B885-309DBA36FC66}">
  <dimension ref="A1:AA81"/>
  <sheetViews>
    <sheetView tabSelected="1" topLeftCell="A58" zoomScale="90" zoomScaleNormal="90" zoomScalePageLayoutView="106" workbookViewId="0">
      <selection activeCell="H81" sqref="H81"/>
    </sheetView>
  </sheetViews>
  <sheetFormatPr defaultRowHeight="15" x14ac:dyDescent="0.25"/>
  <cols>
    <col min="1" max="1" width="20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14</v>
      </c>
      <c r="K1" t="s">
        <v>26</v>
      </c>
      <c r="AA1">
        <v>0</v>
      </c>
    </row>
    <row r="2" spans="1:27" x14ac:dyDescent="0.25">
      <c r="A2" t="s">
        <v>5</v>
      </c>
      <c r="B2" t="s">
        <v>6</v>
      </c>
      <c r="C2" t="s">
        <v>7</v>
      </c>
      <c r="D2" t="s">
        <v>7</v>
      </c>
      <c r="E2" t="s">
        <v>7</v>
      </c>
      <c r="F2">
        <v>294519</v>
      </c>
      <c r="G2">
        <v>1583</v>
      </c>
      <c r="H2">
        <v>833</v>
      </c>
    </row>
    <row r="3" spans="1:27" x14ac:dyDescent="0.25">
      <c r="A3" t="s">
        <v>8</v>
      </c>
      <c r="B3" t="s">
        <v>9</v>
      </c>
      <c r="C3" t="s">
        <v>7</v>
      </c>
      <c r="D3" t="s">
        <v>7</v>
      </c>
      <c r="E3" t="s">
        <v>7</v>
      </c>
      <c r="F3">
        <v>12646</v>
      </c>
      <c r="G3">
        <v>206</v>
      </c>
      <c r="H3">
        <v>0</v>
      </c>
    </row>
    <row r="4" spans="1:27" x14ac:dyDescent="0.25">
      <c r="A4" t="s">
        <v>10</v>
      </c>
      <c r="B4" t="s">
        <v>9</v>
      </c>
      <c r="C4" t="s">
        <v>7</v>
      </c>
      <c r="D4" t="s">
        <v>7</v>
      </c>
      <c r="E4" t="s">
        <v>7</v>
      </c>
      <c r="F4">
        <v>17036</v>
      </c>
      <c r="G4">
        <v>165</v>
      </c>
      <c r="H4">
        <v>0</v>
      </c>
    </row>
    <row r="5" spans="1:27" x14ac:dyDescent="0.25">
      <c r="A5" t="s">
        <v>33</v>
      </c>
      <c r="B5" t="s">
        <v>15</v>
      </c>
      <c r="C5">
        <v>0</v>
      </c>
      <c r="D5">
        <v>0</v>
      </c>
      <c r="E5">
        <v>0</v>
      </c>
      <c r="F5">
        <v>9538</v>
      </c>
      <c r="G5">
        <v>139</v>
      </c>
      <c r="H5">
        <v>0</v>
      </c>
    </row>
    <row r="6" spans="1:27" x14ac:dyDescent="0.25">
      <c r="A6" t="s">
        <v>34</v>
      </c>
      <c r="B6" t="s">
        <v>15</v>
      </c>
      <c r="C6">
        <f>(3/12)*2000</f>
        <v>500</v>
      </c>
      <c r="D6">
        <f>(3/12)*10</f>
        <v>2.5</v>
      </c>
      <c r="E6">
        <f>(3/12)*5</f>
        <v>1.25</v>
      </c>
      <c r="F6">
        <v>179609</v>
      </c>
      <c r="G6">
        <v>1719</v>
      </c>
      <c r="H6">
        <v>2878</v>
      </c>
    </row>
    <row r="7" spans="1:27" x14ac:dyDescent="0.25">
      <c r="A7" t="s">
        <v>35</v>
      </c>
      <c r="B7" t="s">
        <v>15</v>
      </c>
      <c r="C7">
        <f>(6/12)*2000</f>
        <v>1000</v>
      </c>
      <c r="D7">
        <f>(6/12)*10</f>
        <v>5</v>
      </c>
      <c r="E7">
        <f>(6/12)*5</f>
        <v>2.5</v>
      </c>
      <c r="F7">
        <v>335229</v>
      </c>
      <c r="G7">
        <v>3239</v>
      </c>
      <c r="H7">
        <v>5438</v>
      </c>
    </row>
    <row r="8" spans="1:27" x14ac:dyDescent="0.25">
      <c r="A8" t="s">
        <v>36</v>
      </c>
      <c r="B8" t="s">
        <v>15</v>
      </c>
      <c r="C8">
        <f>(9/12)*2000</f>
        <v>1500</v>
      </c>
      <c r="D8">
        <f>(9/12)*10</f>
        <v>7.5</v>
      </c>
      <c r="E8">
        <f>(9/12)*5</f>
        <v>3.75</v>
      </c>
      <c r="F8">
        <v>495459</v>
      </c>
      <c r="G8">
        <v>4667</v>
      </c>
      <c r="H8">
        <v>8051</v>
      </c>
    </row>
    <row r="9" spans="1:27" x14ac:dyDescent="0.25">
      <c r="A9" s="1" t="s">
        <v>37</v>
      </c>
      <c r="B9" s="1" t="s">
        <v>15</v>
      </c>
      <c r="C9" s="1">
        <f>(12/12)*2000</f>
        <v>2000</v>
      </c>
      <c r="D9" s="1">
        <f>(12/12)*10</f>
        <v>10</v>
      </c>
      <c r="E9" s="1">
        <f>(12/12)*5</f>
        <v>5</v>
      </c>
      <c r="F9" s="1">
        <v>644945</v>
      </c>
      <c r="G9" s="1">
        <v>6111</v>
      </c>
      <c r="H9" s="1">
        <v>10538</v>
      </c>
    </row>
    <row r="10" spans="1:27" x14ac:dyDescent="0.25">
      <c r="A10" t="s">
        <v>38</v>
      </c>
      <c r="B10" t="s">
        <v>15</v>
      </c>
      <c r="C10">
        <f>(3/12)*20000</f>
        <v>5000</v>
      </c>
      <c r="D10">
        <f>(3/12)*100</f>
        <v>25</v>
      </c>
      <c r="E10">
        <f>(3/12)*50.2</f>
        <v>12.55</v>
      </c>
      <c r="F10">
        <v>1598903</v>
      </c>
      <c r="G10">
        <v>15857</v>
      </c>
      <c r="H10">
        <v>26375</v>
      </c>
    </row>
    <row r="11" spans="1:27" x14ac:dyDescent="0.25">
      <c r="A11" t="s">
        <v>39</v>
      </c>
      <c r="B11" t="s">
        <v>15</v>
      </c>
      <c r="C11">
        <f>(6/12)*20000</f>
        <v>10000</v>
      </c>
      <c r="D11">
        <f>(6/12)*100</f>
        <v>50</v>
      </c>
      <c r="E11">
        <f>(6/12)*50.2</f>
        <v>25.1</v>
      </c>
      <c r="F11">
        <v>2998934</v>
      </c>
      <c r="G11">
        <v>31276</v>
      </c>
      <c r="H11">
        <v>50907</v>
      </c>
    </row>
    <row r="12" spans="1:27" x14ac:dyDescent="0.25">
      <c r="A12" t="s">
        <v>40</v>
      </c>
      <c r="B12" t="s">
        <v>15</v>
      </c>
      <c r="C12">
        <f>(9/12)*20000</f>
        <v>15000</v>
      </c>
      <c r="D12">
        <f>(9/12)*100</f>
        <v>75</v>
      </c>
      <c r="E12">
        <f>(9/12)*50.2</f>
        <v>37.650000000000006</v>
      </c>
      <c r="F12">
        <v>4372245</v>
      </c>
      <c r="G12">
        <v>47817</v>
      </c>
      <c r="H12">
        <v>76291</v>
      </c>
    </row>
    <row r="13" spans="1:27" x14ac:dyDescent="0.25">
      <c r="A13" t="s">
        <v>41</v>
      </c>
      <c r="B13" t="s">
        <v>15</v>
      </c>
      <c r="C13">
        <f>(12/12)*20000</f>
        <v>20000</v>
      </c>
      <c r="D13">
        <f>(12/12)*100</f>
        <v>100</v>
      </c>
      <c r="E13">
        <f>(12/12)*50.2</f>
        <v>50.2</v>
      </c>
      <c r="F13">
        <v>5439425</v>
      </c>
      <c r="G13">
        <v>61644</v>
      </c>
      <c r="H13">
        <v>97315</v>
      </c>
    </row>
    <row r="14" spans="1:27" x14ac:dyDescent="0.25">
      <c r="A14" t="s">
        <v>42</v>
      </c>
      <c r="B14" t="s">
        <v>15</v>
      </c>
      <c r="C14">
        <f>(3/12)*C17</f>
        <v>12525</v>
      </c>
      <c r="D14">
        <f>(3/12)*D17</f>
        <v>251.5</v>
      </c>
      <c r="E14">
        <f>(3/12)*500</f>
        <v>125</v>
      </c>
      <c r="F14">
        <v>3613238</v>
      </c>
      <c r="G14">
        <v>152014</v>
      </c>
      <c r="H14">
        <v>187829</v>
      </c>
    </row>
    <row r="15" spans="1:27" x14ac:dyDescent="0.25">
      <c r="A15" t="s">
        <v>43</v>
      </c>
      <c r="B15" t="s">
        <v>15</v>
      </c>
      <c r="C15">
        <f>(6/12)*C17</f>
        <v>25050</v>
      </c>
      <c r="D15">
        <f>(6/12)*D17</f>
        <v>503</v>
      </c>
      <c r="E15">
        <f>(6/12)*500</f>
        <v>250</v>
      </c>
      <c r="F15">
        <v>6641393</v>
      </c>
      <c r="G15">
        <v>309970</v>
      </c>
      <c r="H15">
        <v>346565</v>
      </c>
    </row>
    <row r="16" spans="1:27" x14ac:dyDescent="0.25">
      <c r="A16" t="s">
        <v>44</v>
      </c>
      <c r="B16" t="s">
        <v>15</v>
      </c>
      <c r="C16">
        <f>(9/12)*C17</f>
        <v>37575</v>
      </c>
      <c r="D16">
        <f>(9/12)*D17</f>
        <v>754.5</v>
      </c>
      <c r="E16">
        <f>(9/12)*500</f>
        <v>375</v>
      </c>
      <c r="F16">
        <v>9158156</v>
      </c>
      <c r="G16">
        <v>456267</v>
      </c>
      <c r="H16">
        <v>479759</v>
      </c>
    </row>
    <row r="17" spans="1:11" x14ac:dyDescent="0.25">
      <c r="A17" t="s">
        <v>45</v>
      </c>
      <c r="B17" t="s">
        <v>15</v>
      </c>
      <c r="C17">
        <v>50100</v>
      </c>
      <c r="D17">
        <v>1006</v>
      </c>
      <c r="E17">
        <f>(12/12)*500</f>
        <v>500</v>
      </c>
      <c r="F17">
        <v>11702273</v>
      </c>
      <c r="G17">
        <v>615023</v>
      </c>
      <c r="H17">
        <v>619039</v>
      </c>
    </row>
    <row r="18" spans="1:11" x14ac:dyDescent="0.25">
      <c r="A18" t="s">
        <v>11</v>
      </c>
      <c r="B18" t="s">
        <v>9</v>
      </c>
      <c r="C18" t="s">
        <v>7</v>
      </c>
      <c r="D18" t="s">
        <v>7</v>
      </c>
      <c r="E18" t="s">
        <v>7</v>
      </c>
      <c r="F18">
        <v>69440</v>
      </c>
      <c r="G18">
        <v>1522</v>
      </c>
      <c r="H18">
        <v>5317</v>
      </c>
    </row>
    <row r="19" spans="1:11" x14ac:dyDescent="0.25">
      <c r="A19" t="s">
        <v>32</v>
      </c>
      <c r="B19" t="s">
        <v>9</v>
      </c>
      <c r="C19" t="s">
        <v>7</v>
      </c>
      <c r="D19" t="s">
        <v>7</v>
      </c>
      <c r="E19" t="s">
        <v>7</v>
      </c>
      <c r="F19">
        <v>16131</v>
      </c>
      <c r="G19">
        <v>222</v>
      </c>
      <c r="H19">
        <v>904</v>
      </c>
    </row>
    <row r="20" spans="1:11" x14ac:dyDescent="0.25">
      <c r="A20" s="1" t="s">
        <v>20</v>
      </c>
      <c r="B20" s="1" t="s">
        <v>19</v>
      </c>
      <c r="C20" s="1" t="s">
        <v>7</v>
      </c>
      <c r="D20" s="1" t="s">
        <v>7</v>
      </c>
      <c r="E20" s="1" t="s">
        <v>7</v>
      </c>
      <c r="F20" s="1">
        <v>637365</v>
      </c>
      <c r="G20" s="1">
        <v>6114</v>
      </c>
      <c r="H20" s="1">
        <v>11265</v>
      </c>
    </row>
    <row r="21" spans="1:11" x14ac:dyDescent="0.25">
      <c r="A21" t="s">
        <v>16</v>
      </c>
      <c r="B21" t="s">
        <v>9</v>
      </c>
      <c r="C21" t="s">
        <v>7</v>
      </c>
      <c r="D21" t="s">
        <v>7</v>
      </c>
      <c r="E21" t="s">
        <v>7</v>
      </c>
      <c r="F21">
        <v>13772</v>
      </c>
      <c r="G21">
        <v>218</v>
      </c>
      <c r="H21">
        <v>425</v>
      </c>
    </row>
    <row r="22" spans="1:11" x14ac:dyDescent="0.25">
      <c r="A22" t="s">
        <v>47</v>
      </c>
      <c r="B22" t="s">
        <v>22</v>
      </c>
      <c r="C22" t="s">
        <v>7</v>
      </c>
      <c r="D22" t="s">
        <v>7</v>
      </c>
      <c r="E22" t="s">
        <v>7</v>
      </c>
      <c r="F22">
        <v>6728547</v>
      </c>
      <c r="G22">
        <v>1517</v>
      </c>
      <c r="H22">
        <v>3614</v>
      </c>
      <c r="I22">
        <v>0</v>
      </c>
      <c r="J22">
        <f>H22</f>
        <v>3614</v>
      </c>
      <c r="K22" t="s">
        <v>96</v>
      </c>
    </row>
    <row r="23" spans="1:11" x14ac:dyDescent="0.25">
      <c r="A23" t="s">
        <v>48</v>
      </c>
      <c r="B23" t="s">
        <v>22</v>
      </c>
      <c r="C23" t="s">
        <v>7</v>
      </c>
      <c r="D23" t="s">
        <v>7</v>
      </c>
      <c r="E23" t="s">
        <v>7</v>
      </c>
      <c r="F23">
        <v>13847439</v>
      </c>
      <c r="G23">
        <v>1636</v>
      </c>
      <c r="H23">
        <v>5542</v>
      </c>
      <c r="I23">
        <v>1</v>
      </c>
      <c r="J23">
        <f t="shared" ref="J23:J27" si="0">H23</f>
        <v>5542</v>
      </c>
    </row>
    <row r="24" spans="1:11" x14ac:dyDescent="0.25">
      <c r="A24" t="s">
        <v>49</v>
      </c>
      <c r="B24" t="s">
        <v>22</v>
      </c>
      <c r="C24" t="s">
        <v>7</v>
      </c>
      <c r="D24" t="s">
        <v>7</v>
      </c>
      <c r="E24" t="s">
        <v>7</v>
      </c>
      <c r="F24">
        <v>15633310</v>
      </c>
      <c r="G24">
        <v>1049</v>
      </c>
      <c r="H24">
        <v>11552</v>
      </c>
      <c r="I24">
        <v>2</v>
      </c>
      <c r="J24">
        <f t="shared" si="0"/>
        <v>11552</v>
      </c>
    </row>
    <row r="25" spans="1:11" x14ac:dyDescent="0.25">
      <c r="A25" t="s">
        <v>50</v>
      </c>
      <c r="B25" t="s">
        <v>22</v>
      </c>
      <c r="C25" t="s">
        <v>7</v>
      </c>
      <c r="D25" t="s">
        <v>7</v>
      </c>
      <c r="E25" t="s">
        <v>7</v>
      </c>
      <c r="F25">
        <v>11600682</v>
      </c>
      <c r="G25">
        <v>4157</v>
      </c>
      <c r="H25">
        <v>19622</v>
      </c>
      <c r="I25">
        <v>4</v>
      </c>
      <c r="J25">
        <f t="shared" si="0"/>
        <v>19622</v>
      </c>
    </row>
    <row r="26" spans="1:11" x14ac:dyDescent="0.25">
      <c r="A26" t="s">
        <v>51</v>
      </c>
      <c r="B26" t="s">
        <v>22</v>
      </c>
      <c r="C26" t="s">
        <v>7</v>
      </c>
      <c r="D26" t="s">
        <v>7</v>
      </c>
      <c r="E26" t="s">
        <v>7</v>
      </c>
      <c r="F26">
        <v>11150002</v>
      </c>
      <c r="G26">
        <v>1092</v>
      </c>
      <c r="H26">
        <v>77359</v>
      </c>
      <c r="I26">
        <v>6</v>
      </c>
      <c r="J26">
        <f t="shared" si="0"/>
        <v>77359</v>
      </c>
    </row>
    <row r="27" spans="1:11" x14ac:dyDescent="0.25">
      <c r="A27" t="s">
        <v>52</v>
      </c>
      <c r="B27" t="s">
        <v>22</v>
      </c>
      <c r="C27" t="s">
        <v>7</v>
      </c>
      <c r="D27" t="s">
        <v>7</v>
      </c>
      <c r="E27" t="s">
        <v>7</v>
      </c>
      <c r="F27">
        <v>14271425</v>
      </c>
      <c r="G27">
        <v>1293</v>
      </c>
      <c r="H27">
        <v>24336</v>
      </c>
      <c r="I27">
        <v>12</v>
      </c>
      <c r="J27">
        <f t="shared" si="0"/>
        <v>24336</v>
      </c>
    </row>
    <row r="28" spans="1:11" x14ac:dyDescent="0.25">
      <c r="A28" t="s">
        <v>53</v>
      </c>
      <c r="B28" t="s">
        <v>22</v>
      </c>
      <c r="C28" t="s">
        <v>7</v>
      </c>
      <c r="D28" t="s">
        <v>7</v>
      </c>
      <c r="E28" t="s">
        <v>7</v>
      </c>
      <c r="F28">
        <v>13214080</v>
      </c>
      <c r="G28">
        <v>1011</v>
      </c>
      <c r="H28">
        <v>41913</v>
      </c>
      <c r="I28">
        <v>24</v>
      </c>
      <c r="J28">
        <f>H28</f>
        <v>41913</v>
      </c>
    </row>
    <row r="29" spans="1:11" x14ac:dyDescent="0.25">
      <c r="A29" t="s">
        <v>54</v>
      </c>
      <c r="B29" t="s">
        <v>22</v>
      </c>
      <c r="C29" t="s">
        <v>7</v>
      </c>
      <c r="D29" t="s">
        <v>7</v>
      </c>
      <c r="E29" t="s">
        <v>7</v>
      </c>
      <c r="F29">
        <v>9874077</v>
      </c>
      <c r="G29">
        <v>828</v>
      </c>
      <c r="H29">
        <v>3333</v>
      </c>
      <c r="I29">
        <v>0</v>
      </c>
      <c r="J29">
        <f t="shared" ref="J29:J67" si="1">H29</f>
        <v>3333</v>
      </c>
    </row>
    <row r="30" spans="1:11" x14ac:dyDescent="0.25">
      <c r="A30" t="s">
        <v>55</v>
      </c>
      <c r="B30" t="s">
        <v>22</v>
      </c>
      <c r="C30" t="s">
        <v>7</v>
      </c>
      <c r="D30" t="s">
        <v>7</v>
      </c>
      <c r="E30" t="s">
        <v>7</v>
      </c>
      <c r="F30">
        <v>10345947</v>
      </c>
      <c r="G30">
        <v>1797</v>
      </c>
      <c r="H30">
        <v>3986</v>
      </c>
      <c r="I30">
        <v>1</v>
      </c>
      <c r="J30">
        <f t="shared" si="1"/>
        <v>3986</v>
      </c>
    </row>
    <row r="31" spans="1:11" x14ac:dyDescent="0.25">
      <c r="A31" t="s">
        <v>56</v>
      </c>
      <c r="B31" t="s">
        <v>22</v>
      </c>
      <c r="C31" t="s">
        <v>7</v>
      </c>
      <c r="D31" t="s">
        <v>7</v>
      </c>
      <c r="E31" t="s">
        <v>7</v>
      </c>
      <c r="F31">
        <v>15006580</v>
      </c>
      <c r="G31">
        <v>1007</v>
      </c>
      <c r="H31">
        <v>10537</v>
      </c>
      <c r="I31">
        <v>2</v>
      </c>
      <c r="J31">
        <f t="shared" si="1"/>
        <v>10537</v>
      </c>
    </row>
    <row r="32" spans="1:11" x14ac:dyDescent="0.25">
      <c r="A32" s="1" t="s">
        <v>18</v>
      </c>
      <c r="B32" s="1" t="s">
        <v>19</v>
      </c>
      <c r="C32" s="1" t="s">
        <v>7</v>
      </c>
      <c r="D32" s="1" t="s">
        <v>7</v>
      </c>
      <c r="E32" s="1" t="s">
        <v>7</v>
      </c>
      <c r="F32" s="1">
        <v>705923</v>
      </c>
      <c r="G32" s="1">
        <v>6086</v>
      </c>
      <c r="H32" s="1">
        <v>26802</v>
      </c>
    </row>
    <row r="33" spans="1:10" x14ac:dyDescent="0.25">
      <c r="A33" t="s">
        <v>17</v>
      </c>
      <c r="B33" t="s">
        <v>9</v>
      </c>
      <c r="C33" t="s">
        <v>7</v>
      </c>
      <c r="D33" t="s">
        <v>7</v>
      </c>
      <c r="E33" t="s">
        <v>7</v>
      </c>
      <c r="F33">
        <v>37977</v>
      </c>
      <c r="G33">
        <v>141</v>
      </c>
      <c r="H33">
        <v>0</v>
      </c>
    </row>
    <row r="34" spans="1:10" x14ac:dyDescent="0.25">
      <c r="A34" t="s">
        <v>57</v>
      </c>
      <c r="B34" t="s">
        <v>22</v>
      </c>
      <c r="C34" t="s">
        <v>7</v>
      </c>
      <c r="D34" t="s">
        <v>7</v>
      </c>
      <c r="E34" t="s">
        <v>7</v>
      </c>
      <c r="F34">
        <v>10138098</v>
      </c>
      <c r="G34">
        <v>657</v>
      </c>
      <c r="H34">
        <v>12255</v>
      </c>
      <c r="I34">
        <v>4</v>
      </c>
      <c r="J34">
        <f t="shared" si="1"/>
        <v>12255</v>
      </c>
    </row>
    <row r="35" spans="1:10" x14ac:dyDescent="0.25">
      <c r="A35" t="s">
        <v>58</v>
      </c>
      <c r="B35" t="s">
        <v>22</v>
      </c>
      <c r="C35" t="s">
        <v>7</v>
      </c>
      <c r="D35" t="s">
        <v>7</v>
      </c>
      <c r="E35" t="s">
        <v>7</v>
      </c>
      <c r="F35">
        <v>12519566</v>
      </c>
      <c r="G35">
        <v>797</v>
      </c>
      <c r="H35">
        <v>7810</v>
      </c>
      <c r="I35">
        <v>6</v>
      </c>
      <c r="J35">
        <f t="shared" si="1"/>
        <v>7810</v>
      </c>
    </row>
    <row r="36" spans="1:10" x14ac:dyDescent="0.25">
      <c r="A36" t="s">
        <v>59</v>
      </c>
      <c r="B36" t="s">
        <v>22</v>
      </c>
      <c r="C36" t="s">
        <v>7</v>
      </c>
      <c r="D36" t="s">
        <v>7</v>
      </c>
      <c r="E36" t="s">
        <v>7</v>
      </c>
      <c r="F36">
        <v>10463700</v>
      </c>
      <c r="G36">
        <v>988</v>
      </c>
      <c r="H36">
        <v>14460</v>
      </c>
      <c r="I36">
        <v>12</v>
      </c>
      <c r="J36">
        <f t="shared" si="1"/>
        <v>14460</v>
      </c>
    </row>
    <row r="37" spans="1:10" x14ac:dyDescent="0.25">
      <c r="A37" t="s">
        <v>60</v>
      </c>
      <c r="B37" t="s">
        <v>22</v>
      </c>
      <c r="C37" t="s">
        <v>7</v>
      </c>
      <c r="D37" t="s">
        <v>7</v>
      </c>
      <c r="E37" t="s">
        <v>7</v>
      </c>
      <c r="F37">
        <v>10962190</v>
      </c>
      <c r="G37">
        <v>406</v>
      </c>
      <c r="H37">
        <v>18472</v>
      </c>
      <c r="I37">
        <v>24</v>
      </c>
      <c r="J37">
        <f t="shared" si="1"/>
        <v>18472</v>
      </c>
    </row>
    <row r="38" spans="1:10" x14ac:dyDescent="0.25">
      <c r="A38" t="s">
        <v>61</v>
      </c>
      <c r="B38" t="s">
        <v>22</v>
      </c>
      <c r="C38" t="s">
        <v>7</v>
      </c>
      <c r="D38" t="s">
        <v>7</v>
      </c>
      <c r="E38" t="s">
        <v>7</v>
      </c>
      <c r="F38">
        <v>11336125</v>
      </c>
      <c r="G38">
        <v>1459</v>
      </c>
      <c r="H38">
        <v>3003</v>
      </c>
      <c r="I38">
        <v>0</v>
      </c>
      <c r="J38">
        <f t="shared" si="1"/>
        <v>3003</v>
      </c>
    </row>
    <row r="39" spans="1:10" x14ac:dyDescent="0.25">
      <c r="A39" t="s">
        <v>62</v>
      </c>
      <c r="B39" t="s">
        <v>22</v>
      </c>
      <c r="C39" t="s">
        <v>7</v>
      </c>
      <c r="D39" t="s">
        <v>7</v>
      </c>
      <c r="E39" t="s">
        <v>7</v>
      </c>
      <c r="F39">
        <v>10841785</v>
      </c>
      <c r="G39">
        <v>1226</v>
      </c>
      <c r="H39">
        <v>4136</v>
      </c>
      <c r="I39">
        <v>1</v>
      </c>
      <c r="J39">
        <f t="shared" si="1"/>
        <v>4136</v>
      </c>
    </row>
    <row r="40" spans="1:10" x14ac:dyDescent="0.25">
      <c r="A40" t="s">
        <v>63</v>
      </c>
      <c r="B40" t="s">
        <v>22</v>
      </c>
      <c r="C40" t="s">
        <v>7</v>
      </c>
      <c r="D40" t="s">
        <v>7</v>
      </c>
      <c r="E40" t="s">
        <v>7</v>
      </c>
      <c r="F40">
        <v>9761048</v>
      </c>
      <c r="G40">
        <v>1333</v>
      </c>
      <c r="H40">
        <v>13707</v>
      </c>
      <c r="I40">
        <v>2</v>
      </c>
      <c r="J40">
        <f t="shared" si="1"/>
        <v>13707</v>
      </c>
    </row>
    <row r="41" spans="1:10" x14ac:dyDescent="0.25">
      <c r="A41" t="s">
        <v>64</v>
      </c>
      <c r="B41" t="s">
        <v>22</v>
      </c>
      <c r="C41" t="s">
        <v>7</v>
      </c>
      <c r="D41" t="s">
        <v>7</v>
      </c>
      <c r="E41" t="s">
        <v>7</v>
      </c>
      <c r="F41">
        <v>13060210</v>
      </c>
      <c r="G41">
        <v>1206</v>
      </c>
      <c r="H41">
        <v>11807</v>
      </c>
      <c r="I41">
        <v>4</v>
      </c>
      <c r="J41">
        <f t="shared" si="1"/>
        <v>11807</v>
      </c>
    </row>
    <row r="42" spans="1:10" x14ac:dyDescent="0.25">
      <c r="A42" t="s">
        <v>65</v>
      </c>
      <c r="B42" t="s">
        <v>22</v>
      </c>
      <c r="C42" t="s">
        <v>7</v>
      </c>
      <c r="D42" t="s">
        <v>7</v>
      </c>
      <c r="E42" t="s">
        <v>7</v>
      </c>
      <c r="F42">
        <v>16729051</v>
      </c>
      <c r="G42">
        <v>1906</v>
      </c>
      <c r="H42">
        <v>28971</v>
      </c>
      <c r="I42">
        <v>6</v>
      </c>
      <c r="J42">
        <f t="shared" si="1"/>
        <v>28971</v>
      </c>
    </row>
    <row r="43" spans="1:10" x14ac:dyDescent="0.25">
      <c r="A43" t="s">
        <v>66</v>
      </c>
      <c r="B43" t="s">
        <v>22</v>
      </c>
      <c r="C43" t="s">
        <v>7</v>
      </c>
      <c r="D43" t="s">
        <v>7</v>
      </c>
      <c r="E43" t="s">
        <v>7</v>
      </c>
      <c r="F43">
        <v>11452014</v>
      </c>
      <c r="G43">
        <v>1316</v>
      </c>
      <c r="H43">
        <v>64209</v>
      </c>
      <c r="I43">
        <v>12</v>
      </c>
      <c r="J43">
        <f t="shared" si="1"/>
        <v>64209</v>
      </c>
    </row>
    <row r="44" spans="1:10" x14ac:dyDescent="0.25">
      <c r="A44" s="1" t="s">
        <v>24</v>
      </c>
      <c r="B44" s="1" t="s">
        <v>19</v>
      </c>
      <c r="C44" s="1" t="s">
        <v>7</v>
      </c>
      <c r="D44" s="1" t="s">
        <v>7</v>
      </c>
      <c r="E44" s="1" t="s">
        <v>7</v>
      </c>
      <c r="F44" s="1">
        <v>652183</v>
      </c>
      <c r="G44" s="1">
        <v>5986</v>
      </c>
      <c r="H44" s="2">
        <v>33742</v>
      </c>
    </row>
    <row r="45" spans="1:10" x14ac:dyDescent="0.25">
      <c r="A45" t="s">
        <v>21</v>
      </c>
      <c r="B45" t="s">
        <v>9</v>
      </c>
      <c r="C45" t="s">
        <v>7</v>
      </c>
      <c r="D45" t="s">
        <v>7</v>
      </c>
      <c r="E45" t="s">
        <v>7</v>
      </c>
      <c r="F45">
        <v>20879</v>
      </c>
      <c r="G45">
        <v>133</v>
      </c>
      <c r="H45">
        <v>0</v>
      </c>
    </row>
    <row r="46" spans="1:10" x14ac:dyDescent="0.25">
      <c r="A46" t="s">
        <v>67</v>
      </c>
      <c r="B46" t="s">
        <v>22</v>
      </c>
      <c r="C46" t="s">
        <v>7</v>
      </c>
      <c r="D46" t="s">
        <v>7</v>
      </c>
      <c r="E46" t="s">
        <v>7</v>
      </c>
      <c r="F46">
        <v>17657091</v>
      </c>
      <c r="G46">
        <v>1326</v>
      </c>
      <c r="H46">
        <v>15550</v>
      </c>
      <c r="I46">
        <v>24</v>
      </c>
      <c r="J46">
        <f t="shared" si="1"/>
        <v>15550</v>
      </c>
    </row>
    <row r="47" spans="1:10" x14ac:dyDescent="0.25">
      <c r="A47" t="s">
        <v>68</v>
      </c>
      <c r="B47" t="s">
        <v>22</v>
      </c>
      <c r="C47" t="s">
        <v>7</v>
      </c>
      <c r="D47" t="s">
        <v>7</v>
      </c>
      <c r="E47" t="s">
        <v>7</v>
      </c>
      <c r="F47">
        <v>30718664</v>
      </c>
      <c r="G47">
        <v>2625</v>
      </c>
      <c r="H47">
        <v>5939</v>
      </c>
      <c r="I47">
        <v>0</v>
      </c>
      <c r="J47">
        <f t="shared" si="1"/>
        <v>5939</v>
      </c>
    </row>
    <row r="48" spans="1:10" x14ac:dyDescent="0.25">
      <c r="A48" t="s">
        <v>69</v>
      </c>
      <c r="B48" t="s">
        <v>22</v>
      </c>
      <c r="C48" t="s">
        <v>7</v>
      </c>
      <c r="D48" t="s">
        <v>7</v>
      </c>
      <c r="E48" t="s">
        <v>7</v>
      </c>
      <c r="F48">
        <v>13609020</v>
      </c>
      <c r="G48">
        <v>1398</v>
      </c>
      <c r="H48">
        <v>22999</v>
      </c>
      <c r="I48">
        <v>1</v>
      </c>
      <c r="J48">
        <f t="shared" si="1"/>
        <v>22999</v>
      </c>
    </row>
    <row r="49" spans="1:12" x14ac:dyDescent="0.25">
      <c r="A49" t="s">
        <v>70</v>
      </c>
      <c r="B49" t="s">
        <v>22</v>
      </c>
      <c r="C49" t="s">
        <v>7</v>
      </c>
      <c r="D49" t="s">
        <v>7</v>
      </c>
      <c r="E49" t="s">
        <v>7</v>
      </c>
      <c r="F49">
        <v>27605286</v>
      </c>
      <c r="G49">
        <v>3199</v>
      </c>
      <c r="H49">
        <v>11526</v>
      </c>
      <c r="I49">
        <v>2</v>
      </c>
      <c r="J49">
        <f t="shared" si="1"/>
        <v>11526</v>
      </c>
    </row>
    <row r="50" spans="1:12" x14ac:dyDescent="0.25">
      <c r="A50" t="s">
        <v>71</v>
      </c>
      <c r="B50" t="s">
        <v>22</v>
      </c>
      <c r="C50" t="s">
        <v>7</v>
      </c>
      <c r="D50" t="s">
        <v>7</v>
      </c>
      <c r="E50" t="s">
        <v>7</v>
      </c>
      <c r="F50">
        <v>21437754</v>
      </c>
      <c r="G50">
        <v>2081</v>
      </c>
      <c r="H50">
        <v>6322</v>
      </c>
      <c r="I50">
        <v>4</v>
      </c>
      <c r="J50">
        <f t="shared" si="1"/>
        <v>6322</v>
      </c>
    </row>
    <row r="51" spans="1:12" x14ac:dyDescent="0.25">
      <c r="A51" t="s">
        <v>72</v>
      </c>
      <c r="B51" t="s">
        <v>22</v>
      </c>
      <c r="C51" t="s">
        <v>7</v>
      </c>
      <c r="D51" t="s">
        <v>7</v>
      </c>
      <c r="E51" t="s">
        <v>7</v>
      </c>
      <c r="F51" s="3">
        <v>20818325</v>
      </c>
      <c r="G51">
        <v>1505</v>
      </c>
      <c r="H51">
        <v>8737</v>
      </c>
      <c r="I51">
        <v>6</v>
      </c>
      <c r="J51">
        <f t="shared" si="1"/>
        <v>8737</v>
      </c>
    </row>
    <row r="52" spans="1:12" x14ac:dyDescent="0.25">
      <c r="A52" t="s">
        <v>73</v>
      </c>
      <c r="B52" t="s">
        <v>22</v>
      </c>
      <c r="C52" t="s">
        <v>7</v>
      </c>
      <c r="D52" t="s">
        <v>7</v>
      </c>
      <c r="E52" t="s">
        <v>7</v>
      </c>
      <c r="F52">
        <v>33391304</v>
      </c>
      <c r="G52">
        <v>3326</v>
      </c>
      <c r="H52">
        <v>10311</v>
      </c>
      <c r="I52">
        <v>12</v>
      </c>
      <c r="J52">
        <f t="shared" si="1"/>
        <v>10311</v>
      </c>
    </row>
    <row r="53" spans="1:12" x14ac:dyDescent="0.25">
      <c r="A53" t="s">
        <v>74</v>
      </c>
      <c r="B53" t="s">
        <v>22</v>
      </c>
      <c r="C53" t="s">
        <v>7</v>
      </c>
      <c r="D53" t="s">
        <v>7</v>
      </c>
      <c r="E53" t="s">
        <v>7</v>
      </c>
      <c r="F53">
        <v>11555986</v>
      </c>
      <c r="G53">
        <v>1043</v>
      </c>
      <c r="H53">
        <v>6203</v>
      </c>
      <c r="I53">
        <v>24</v>
      </c>
      <c r="J53">
        <f t="shared" si="1"/>
        <v>6203</v>
      </c>
    </row>
    <row r="54" spans="1:12" x14ac:dyDescent="0.25">
      <c r="A54" t="s">
        <v>75</v>
      </c>
      <c r="B54" t="s">
        <v>22</v>
      </c>
      <c r="C54" t="s">
        <v>7</v>
      </c>
      <c r="D54" t="s">
        <v>7</v>
      </c>
      <c r="E54" t="s">
        <v>7</v>
      </c>
      <c r="F54">
        <v>17328105</v>
      </c>
      <c r="G54">
        <v>1554</v>
      </c>
      <c r="H54">
        <v>4667</v>
      </c>
      <c r="I54">
        <v>0</v>
      </c>
      <c r="J54">
        <f t="shared" si="1"/>
        <v>4667</v>
      </c>
    </row>
    <row r="55" spans="1:12" x14ac:dyDescent="0.25">
      <c r="A55" t="s">
        <v>76</v>
      </c>
      <c r="B55" t="s">
        <v>22</v>
      </c>
      <c r="C55" t="s">
        <v>7</v>
      </c>
      <c r="D55" t="s">
        <v>7</v>
      </c>
      <c r="E55" t="s">
        <v>7</v>
      </c>
      <c r="F55">
        <v>19343555</v>
      </c>
      <c r="G55">
        <v>1731</v>
      </c>
      <c r="H55">
        <v>16956</v>
      </c>
      <c r="I55">
        <v>1</v>
      </c>
      <c r="J55">
        <f t="shared" si="1"/>
        <v>16956</v>
      </c>
    </row>
    <row r="56" spans="1:12" x14ac:dyDescent="0.25">
      <c r="A56" s="1" t="s">
        <v>28</v>
      </c>
      <c r="B56" s="1" t="s">
        <v>19</v>
      </c>
      <c r="C56" s="1" t="s">
        <v>7</v>
      </c>
      <c r="D56" s="1" t="s">
        <v>7</v>
      </c>
      <c r="E56" s="1" t="s">
        <v>7</v>
      </c>
      <c r="F56">
        <v>689259</v>
      </c>
      <c r="G56">
        <v>6036</v>
      </c>
      <c r="H56">
        <v>11563</v>
      </c>
      <c r="L56" t="s">
        <v>46</v>
      </c>
    </row>
    <row r="57" spans="1:12" x14ac:dyDescent="0.25">
      <c r="A57" t="s">
        <v>23</v>
      </c>
      <c r="B57" t="s">
        <v>9</v>
      </c>
      <c r="C57" t="s">
        <v>7</v>
      </c>
      <c r="D57" t="s">
        <v>7</v>
      </c>
      <c r="E57" t="s">
        <v>7</v>
      </c>
      <c r="F57">
        <v>40868</v>
      </c>
      <c r="G57">
        <v>162</v>
      </c>
      <c r="H57">
        <v>0</v>
      </c>
    </row>
    <row r="58" spans="1:12" x14ac:dyDescent="0.25">
      <c r="A58" t="s">
        <v>77</v>
      </c>
      <c r="B58" t="s">
        <v>22</v>
      </c>
      <c r="C58" t="s">
        <v>7</v>
      </c>
      <c r="D58" t="s">
        <v>7</v>
      </c>
      <c r="E58" t="s">
        <v>7</v>
      </c>
      <c r="F58">
        <v>16553649</v>
      </c>
      <c r="G58">
        <v>1350</v>
      </c>
      <c r="H58">
        <v>8150</v>
      </c>
      <c r="I58">
        <v>2</v>
      </c>
      <c r="J58">
        <f t="shared" si="1"/>
        <v>8150</v>
      </c>
    </row>
    <row r="59" spans="1:12" x14ac:dyDescent="0.25">
      <c r="A59" t="s">
        <v>78</v>
      </c>
      <c r="B59" t="s">
        <v>22</v>
      </c>
      <c r="C59" t="s">
        <v>7</v>
      </c>
      <c r="D59" t="s">
        <v>7</v>
      </c>
      <c r="E59" t="s">
        <v>7</v>
      </c>
      <c r="F59">
        <v>12838645</v>
      </c>
      <c r="G59">
        <v>1087</v>
      </c>
      <c r="H59">
        <v>13618</v>
      </c>
      <c r="I59">
        <v>4</v>
      </c>
      <c r="J59">
        <f t="shared" si="1"/>
        <v>13618</v>
      </c>
    </row>
    <row r="60" spans="1:12" x14ac:dyDescent="0.25">
      <c r="A60" t="s">
        <v>79</v>
      </c>
      <c r="B60" t="s">
        <v>22</v>
      </c>
      <c r="C60" t="s">
        <v>7</v>
      </c>
      <c r="D60" t="s">
        <v>7</v>
      </c>
      <c r="E60" t="s">
        <v>7</v>
      </c>
      <c r="F60">
        <v>20108736</v>
      </c>
      <c r="G60">
        <v>1245</v>
      </c>
      <c r="H60">
        <v>4185</v>
      </c>
      <c r="I60">
        <v>6</v>
      </c>
      <c r="J60">
        <f t="shared" si="1"/>
        <v>4185</v>
      </c>
    </row>
    <row r="61" spans="1:12" x14ac:dyDescent="0.25">
      <c r="A61" t="s">
        <v>80</v>
      </c>
      <c r="B61" t="s">
        <v>22</v>
      </c>
      <c r="C61" t="s">
        <v>7</v>
      </c>
      <c r="D61" t="s">
        <v>7</v>
      </c>
      <c r="E61" t="s">
        <v>7</v>
      </c>
      <c r="F61">
        <v>23001589</v>
      </c>
      <c r="G61">
        <v>2102</v>
      </c>
      <c r="H61">
        <v>5153</v>
      </c>
      <c r="I61">
        <v>12</v>
      </c>
      <c r="J61">
        <f t="shared" si="1"/>
        <v>5153</v>
      </c>
    </row>
    <row r="62" spans="1:12" x14ac:dyDescent="0.25">
      <c r="A62" t="s">
        <v>81</v>
      </c>
      <c r="B62" t="s">
        <v>22</v>
      </c>
      <c r="C62" t="s">
        <v>7</v>
      </c>
      <c r="D62" t="s">
        <v>7</v>
      </c>
      <c r="E62" t="s">
        <v>7</v>
      </c>
      <c r="F62">
        <v>24628872</v>
      </c>
      <c r="G62">
        <v>3218</v>
      </c>
      <c r="H62">
        <v>5280</v>
      </c>
      <c r="I62">
        <v>24</v>
      </c>
      <c r="J62">
        <f t="shared" si="1"/>
        <v>5280</v>
      </c>
    </row>
    <row r="63" spans="1:12" x14ac:dyDescent="0.25">
      <c r="A63" t="s">
        <v>82</v>
      </c>
      <c r="B63" t="s">
        <v>22</v>
      </c>
      <c r="C63" t="s">
        <v>7</v>
      </c>
      <c r="D63" t="s">
        <v>7</v>
      </c>
      <c r="E63" t="s">
        <v>7</v>
      </c>
      <c r="F63">
        <v>18398726</v>
      </c>
      <c r="G63">
        <v>2702</v>
      </c>
      <c r="H63">
        <v>13483</v>
      </c>
      <c r="I63">
        <v>0</v>
      </c>
      <c r="J63">
        <f t="shared" si="1"/>
        <v>13483</v>
      </c>
    </row>
    <row r="64" spans="1:12" x14ac:dyDescent="0.25">
      <c r="A64" t="s">
        <v>83</v>
      </c>
      <c r="B64" t="s">
        <v>22</v>
      </c>
      <c r="C64" t="s">
        <v>7</v>
      </c>
      <c r="D64" t="s">
        <v>7</v>
      </c>
      <c r="E64" t="s">
        <v>7</v>
      </c>
      <c r="F64">
        <v>18503456</v>
      </c>
      <c r="G64">
        <v>2425</v>
      </c>
      <c r="H64">
        <v>3381</v>
      </c>
      <c r="I64">
        <v>1</v>
      </c>
      <c r="J64">
        <f t="shared" si="1"/>
        <v>3381</v>
      </c>
    </row>
    <row r="65" spans="1:10" x14ac:dyDescent="0.25">
      <c r="A65" t="s">
        <v>84</v>
      </c>
      <c r="B65" t="s">
        <v>22</v>
      </c>
      <c r="C65" t="s">
        <v>7</v>
      </c>
      <c r="D65" t="s">
        <v>7</v>
      </c>
      <c r="E65" t="s">
        <v>7</v>
      </c>
      <c r="F65">
        <v>15748848</v>
      </c>
      <c r="G65">
        <v>2632</v>
      </c>
      <c r="H65">
        <v>31455</v>
      </c>
      <c r="I65">
        <v>2</v>
      </c>
      <c r="J65">
        <f t="shared" si="1"/>
        <v>31455</v>
      </c>
    </row>
    <row r="66" spans="1:10" x14ac:dyDescent="0.25">
      <c r="A66" t="s">
        <v>85</v>
      </c>
      <c r="B66" t="s">
        <v>22</v>
      </c>
      <c r="C66" t="s">
        <v>7</v>
      </c>
      <c r="D66" t="s">
        <v>7</v>
      </c>
      <c r="E66" t="s">
        <v>7</v>
      </c>
      <c r="F66">
        <v>13507812</v>
      </c>
      <c r="G66">
        <v>1038</v>
      </c>
      <c r="H66">
        <v>27450</v>
      </c>
      <c r="I66">
        <v>4</v>
      </c>
      <c r="J66">
        <f t="shared" si="1"/>
        <v>27450</v>
      </c>
    </row>
    <row r="67" spans="1:10" x14ac:dyDescent="0.25">
      <c r="A67" t="s">
        <v>86</v>
      </c>
      <c r="B67" t="s">
        <v>22</v>
      </c>
      <c r="C67" t="s">
        <v>7</v>
      </c>
      <c r="D67" t="s">
        <v>7</v>
      </c>
      <c r="E67" t="s">
        <v>7</v>
      </c>
      <c r="F67">
        <v>13804671</v>
      </c>
      <c r="G67">
        <v>903</v>
      </c>
      <c r="H67">
        <v>67717</v>
      </c>
      <c r="I67">
        <v>6</v>
      </c>
      <c r="J67">
        <f t="shared" si="1"/>
        <v>67717</v>
      </c>
    </row>
    <row r="68" spans="1:10" x14ac:dyDescent="0.25">
      <c r="A68" s="1" t="s">
        <v>29</v>
      </c>
      <c r="B68" s="1" t="s">
        <v>19</v>
      </c>
      <c r="C68" s="1" t="s">
        <v>7</v>
      </c>
      <c r="D68" s="1" t="s">
        <v>7</v>
      </c>
      <c r="E68" s="1" t="s">
        <v>7</v>
      </c>
      <c r="F68">
        <v>653341</v>
      </c>
      <c r="G68">
        <v>6005</v>
      </c>
      <c r="H68">
        <v>11152</v>
      </c>
    </row>
    <row r="69" spans="1:10" x14ac:dyDescent="0.25">
      <c r="A69" t="s">
        <v>25</v>
      </c>
      <c r="B69" t="s">
        <v>9</v>
      </c>
      <c r="C69" t="s">
        <v>7</v>
      </c>
      <c r="D69" t="s">
        <v>7</v>
      </c>
      <c r="E69" t="s">
        <v>7</v>
      </c>
      <c r="F69">
        <v>21669</v>
      </c>
      <c r="G69">
        <v>111</v>
      </c>
      <c r="H69">
        <v>299</v>
      </c>
    </row>
    <row r="70" spans="1:10" x14ac:dyDescent="0.25">
      <c r="A70" t="s">
        <v>87</v>
      </c>
      <c r="B70" t="s">
        <v>22</v>
      </c>
      <c r="C70" t="s">
        <v>7</v>
      </c>
      <c r="D70" t="s">
        <v>7</v>
      </c>
      <c r="E70" t="s">
        <v>7</v>
      </c>
      <c r="F70">
        <v>13739280</v>
      </c>
      <c r="G70">
        <v>1038</v>
      </c>
      <c r="H70">
        <v>52652</v>
      </c>
      <c r="I70">
        <v>12</v>
      </c>
      <c r="J70">
        <f t="shared" ref="J70:J78" si="2">H70</f>
        <v>52652</v>
      </c>
    </row>
    <row r="71" spans="1:10" x14ac:dyDescent="0.25">
      <c r="A71" t="s">
        <v>88</v>
      </c>
      <c r="B71" t="s">
        <v>22</v>
      </c>
      <c r="C71" t="s">
        <v>7</v>
      </c>
      <c r="D71" t="s">
        <v>7</v>
      </c>
      <c r="E71" t="s">
        <v>7</v>
      </c>
      <c r="F71">
        <v>9617032</v>
      </c>
      <c r="G71">
        <v>818</v>
      </c>
      <c r="H71">
        <v>28760</v>
      </c>
      <c r="I71">
        <v>24</v>
      </c>
      <c r="J71">
        <f t="shared" si="2"/>
        <v>28760</v>
      </c>
    </row>
    <row r="72" spans="1:10" x14ac:dyDescent="0.25">
      <c r="A72" t="s">
        <v>89</v>
      </c>
      <c r="B72" t="s">
        <v>22</v>
      </c>
      <c r="C72" t="s">
        <v>7</v>
      </c>
      <c r="D72" t="s">
        <v>7</v>
      </c>
      <c r="E72" t="s">
        <v>7</v>
      </c>
      <c r="F72">
        <v>5844343</v>
      </c>
      <c r="G72">
        <v>1486</v>
      </c>
      <c r="H72">
        <v>19327</v>
      </c>
      <c r="I72">
        <v>0</v>
      </c>
      <c r="J72">
        <f t="shared" si="2"/>
        <v>19327</v>
      </c>
    </row>
    <row r="73" spans="1:10" x14ac:dyDescent="0.25">
      <c r="A73" t="s">
        <v>90</v>
      </c>
      <c r="B73" t="s">
        <v>22</v>
      </c>
      <c r="C73" t="s">
        <v>7</v>
      </c>
      <c r="D73" t="s">
        <v>7</v>
      </c>
      <c r="E73" t="s">
        <v>7</v>
      </c>
      <c r="F73">
        <v>10408861</v>
      </c>
      <c r="G73">
        <v>707</v>
      </c>
      <c r="H73">
        <v>22993</v>
      </c>
      <c r="I73">
        <v>1</v>
      </c>
      <c r="J73">
        <f t="shared" si="2"/>
        <v>22993</v>
      </c>
    </row>
    <row r="74" spans="1:10" x14ac:dyDescent="0.25">
      <c r="A74" t="s">
        <v>91</v>
      </c>
      <c r="B74" t="s">
        <v>22</v>
      </c>
      <c r="C74" t="s">
        <v>7</v>
      </c>
      <c r="D74" t="s">
        <v>7</v>
      </c>
      <c r="E74" t="s">
        <v>7</v>
      </c>
      <c r="F74">
        <v>9180723</v>
      </c>
      <c r="G74">
        <v>642</v>
      </c>
      <c r="H74">
        <v>17883</v>
      </c>
      <c r="I74">
        <v>2</v>
      </c>
      <c r="J74">
        <f t="shared" si="2"/>
        <v>17883</v>
      </c>
    </row>
    <row r="75" spans="1:10" x14ac:dyDescent="0.25">
      <c r="A75" t="s">
        <v>92</v>
      </c>
      <c r="B75" t="s">
        <v>22</v>
      </c>
      <c r="C75" t="s">
        <v>7</v>
      </c>
      <c r="D75" t="s">
        <v>7</v>
      </c>
      <c r="E75" t="s">
        <v>7</v>
      </c>
      <c r="F75">
        <v>10954853</v>
      </c>
      <c r="G75">
        <v>757</v>
      </c>
      <c r="H75">
        <v>14811</v>
      </c>
      <c r="I75">
        <v>4</v>
      </c>
      <c r="J75">
        <f t="shared" si="2"/>
        <v>14811</v>
      </c>
    </row>
    <row r="76" spans="1:10" x14ac:dyDescent="0.25">
      <c r="A76" t="s">
        <v>93</v>
      </c>
      <c r="B76" t="s">
        <v>22</v>
      </c>
      <c r="C76" t="s">
        <v>7</v>
      </c>
      <c r="D76" t="s">
        <v>7</v>
      </c>
      <c r="E76" t="s">
        <v>7</v>
      </c>
      <c r="F76">
        <v>10658440</v>
      </c>
      <c r="G76">
        <v>653</v>
      </c>
      <c r="H76">
        <v>8847</v>
      </c>
      <c r="I76">
        <v>6</v>
      </c>
      <c r="J76">
        <f t="shared" si="2"/>
        <v>8847</v>
      </c>
    </row>
    <row r="77" spans="1:10" x14ac:dyDescent="0.25">
      <c r="A77" t="s">
        <v>94</v>
      </c>
      <c r="B77" t="s">
        <v>22</v>
      </c>
      <c r="C77" t="s">
        <v>7</v>
      </c>
      <c r="D77" t="s">
        <v>7</v>
      </c>
      <c r="E77" t="s">
        <v>7</v>
      </c>
      <c r="F77">
        <v>9984416</v>
      </c>
      <c r="G77">
        <v>665</v>
      </c>
      <c r="H77">
        <v>11679</v>
      </c>
      <c r="I77">
        <v>12</v>
      </c>
      <c r="J77">
        <f t="shared" si="2"/>
        <v>11679</v>
      </c>
    </row>
    <row r="78" spans="1:10" x14ac:dyDescent="0.25">
      <c r="A78" t="s">
        <v>95</v>
      </c>
      <c r="B78" t="s">
        <v>22</v>
      </c>
      <c r="C78" t="s">
        <v>7</v>
      </c>
      <c r="D78" t="s">
        <v>7</v>
      </c>
      <c r="E78" t="s">
        <v>7</v>
      </c>
      <c r="F78">
        <v>11870451</v>
      </c>
      <c r="G78">
        <v>1089</v>
      </c>
      <c r="H78">
        <v>18903</v>
      </c>
      <c r="I78">
        <v>24</v>
      </c>
      <c r="J78">
        <f t="shared" si="2"/>
        <v>18903</v>
      </c>
    </row>
    <row r="79" spans="1:10" x14ac:dyDescent="0.25">
      <c r="A79" s="1" t="s">
        <v>30</v>
      </c>
      <c r="B79" s="1" t="s">
        <v>19</v>
      </c>
      <c r="C79" s="1" t="s">
        <v>7</v>
      </c>
      <c r="D79" s="1" t="s">
        <v>7</v>
      </c>
      <c r="E79" s="1" t="s">
        <v>7</v>
      </c>
      <c r="F79">
        <v>618074</v>
      </c>
      <c r="G79">
        <v>6042</v>
      </c>
      <c r="H79">
        <v>27384</v>
      </c>
    </row>
    <row r="80" spans="1:10" x14ac:dyDescent="0.25">
      <c r="A80" t="s">
        <v>27</v>
      </c>
      <c r="B80" t="s">
        <v>9</v>
      </c>
      <c r="C80" t="s">
        <v>7</v>
      </c>
      <c r="D80" t="s">
        <v>7</v>
      </c>
      <c r="E80" t="s">
        <v>7</v>
      </c>
      <c r="F80" s="3">
        <v>29890</v>
      </c>
      <c r="G80" s="3">
        <v>107</v>
      </c>
      <c r="H80" s="3">
        <v>267</v>
      </c>
    </row>
    <row r="81" spans="1:8" x14ac:dyDescent="0.25">
      <c r="A81" t="s">
        <v>31</v>
      </c>
      <c r="B81" t="s">
        <v>9</v>
      </c>
      <c r="C81" t="s">
        <v>7</v>
      </c>
      <c r="D81" t="s">
        <v>7</v>
      </c>
      <c r="E81" t="s">
        <v>7</v>
      </c>
      <c r="F81">
        <v>25053</v>
      </c>
      <c r="G81">
        <v>191</v>
      </c>
      <c r="H81">
        <v>179</v>
      </c>
    </row>
  </sheetData>
  <phoneticPr fontId="1" type="noConversion"/>
  <conditionalFormatting sqref="F73:F1048576 F1:F71">
    <cfRule type="cellIs" dxfId="4" priority="27" operator="greaterThan">
      <formula>$F$17</formula>
    </cfRule>
    <cfRule type="cellIs" dxfId="3" priority="28" operator="greaterThan">
      <formula>$F$13</formula>
    </cfRule>
  </conditionalFormatting>
  <conditionalFormatting sqref="G1:G71 G73:G1048576">
    <cfRule type="cellIs" dxfId="2" priority="33" operator="greaterThan">
      <formula>$G$17</formula>
    </cfRule>
    <cfRule type="cellIs" dxfId="1" priority="34" operator="greaterThan">
      <formula>$G$13</formula>
    </cfRule>
  </conditionalFormatting>
  <conditionalFormatting sqref="H73:H1048576 H1:H71">
    <cfRule type="cellIs" dxfId="0" priority="39" operator="greaterThan">
      <formula>$H$17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Blakley, Brenden, D</dc:creator>
  <cp:lastModifiedBy>Blakley, Brenden, D</cp:lastModifiedBy>
  <dcterms:created xsi:type="dcterms:W3CDTF">2026-04-20T13:32:18Z</dcterms:created>
  <dcterms:modified xsi:type="dcterms:W3CDTF">2026-05-12T21:08:10Z</dcterms:modified>
</cp:coreProperties>
</file>