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madzuGC-2030\Documents\ShimadzuGC_Spreadsheets\GENX\"/>
    </mc:Choice>
  </mc:AlternateContent>
  <xr:revisionPtr revIDLastSave="0" documentId="13_ncr:1_{8B99DF1D-0D0E-4D21-B215-236AD2151189}" xr6:coauthVersionLast="47" xr6:coauthVersionMax="47" xr10:uidLastSave="{00000000-0000-0000-0000-000000000000}"/>
  <bookViews>
    <workbookView xWindow="-105" yWindow="0" windowWidth="9810" windowHeight="14745" xr2:uid="{F17BC98E-D114-4121-9380-8DF3CD56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D24" i="1"/>
  <c r="C24" i="1"/>
  <c r="E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</calcChain>
</file>

<file path=xl/sharedStrings.xml><?xml version="1.0" encoding="utf-8"?>
<sst xmlns="http://schemas.openxmlformats.org/spreadsheetml/2006/main" count="323" uniqueCount="87">
  <si>
    <t>Lab air</t>
  </si>
  <si>
    <t>unknown</t>
  </si>
  <si>
    <t>Blank</t>
  </si>
  <si>
    <t>Standard</t>
  </si>
  <si>
    <t>Sample ID</t>
  </si>
  <si>
    <t>Type</t>
  </si>
  <si>
    <t>Conc_CO2</t>
  </si>
  <si>
    <t>Conc_CH4</t>
  </si>
  <si>
    <t>Conc_N2O</t>
  </si>
  <si>
    <t>CO2_Area</t>
  </si>
  <si>
    <t>CH4_Area</t>
  </si>
  <si>
    <t>N2O_Area</t>
  </si>
  <si>
    <t>Notes</t>
  </si>
  <si>
    <t>ChkStd</t>
  </si>
  <si>
    <t>Sample</t>
  </si>
  <si>
    <t>ChkStd_12mLLowTri2</t>
  </si>
  <si>
    <t>Blank 6</t>
  </si>
  <si>
    <t>Blank5</t>
  </si>
  <si>
    <t>Blank4</t>
  </si>
  <si>
    <t>Blank3</t>
  </si>
  <si>
    <t>ChkStd_12mLLowTri3</t>
  </si>
  <si>
    <t>ChkStd_12mLLowTri4</t>
  </si>
  <si>
    <t>Blank 8</t>
  </si>
  <si>
    <t>ChkStd_12mLLowTri5</t>
  </si>
  <si>
    <t>Blank 9</t>
  </si>
  <si>
    <t>Blank7</t>
  </si>
  <si>
    <t>Blank 10</t>
  </si>
  <si>
    <t>20260513_LabAir</t>
  </si>
  <si>
    <t>20260513_Blank1</t>
  </si>
  <si>
    <t>20260513_Blank2</t>
  </si>
  <si>
    <t>20260513_0ppm</t>
  </si>
  <si>
    <t>20260513_3mlLowTri</t>
  </si>
  <si>
    <t>20260513_6mlLowTri</t>
  </si>
  <si>
    <t>20260513_9mlLowTri</t>
  </si>
  <si>
    <t>20260513_12mlLowTri</t>
  </si>
  <si>
    <t>20260513_3mlMidTri</t>
  </si>
  <si>
    <t>20260513_6mlMidTri</t>
  </si>
  <si>
    <t>20260513_9mlMidTri</t>
  </si>
  <si>
    <t>20260513_12mlMidTri</t>
  </si>
  <si>
    <t>20260513_3mlHighTri</t>
  </si>
  <si>
    <t>20260513_6mlHighTri</t>
  </si>
  <si>
    <t>20260513_9mlHighTri</t>
  </si>
  <si>
    <t>20260513_12mlHighTri</t>
  </si>
  <si>
    <t>20260513_3ml_10000CH4</t>
  </si>
  <si>
    <t>20260513_6ml_10000CH4</t>
  </si>
  <si>
    <t>20260513_9ml_10000CH4</t>
  </si>
  <si>
    <t>20260513_12ml_10000CH4</t>
  </si>
  <si>
    <t>20260505_Ch1_5cm</t>
  </si>
  <si>
    <t>20260505_Ch1_20cm</t>
  </si>
  <si>
    <t>20260505_Ch2_5cm</t>
  </si>
  <si>
    <t>20260505_Ch2_20cm</t>
  </si>
  <si>
    <t>20260505_Ch3_5cm</t>
  </si>
  <si>
    <t>20260505_Ch3_20cm</t>
  </si>
  <si>
    <t>20260505_Ch4_5cm</t>
  </si>
  <si>
    <t>20260505_Ch4_20cm</t>
  </si>
  <si>
    <t>20260505_Ch5_5cm</t>
  </si>
  <si>
    <t>20260505_Ch5_20cm</t>
  </si>
  <si>
    <t>20260505_Ch6_5cm</t>
  </si>
  <si>
    <t>20260505_Ch6_20cm</t>
  </si>
  <si>
    <t>20260505_Ch7_5cm</t>
  </si>
  <si>
    <t>20260505_Ch7_20cm</t>
  </si>
  <si>
    <t>20260505_Ch8_5cm</t>
  </si>
  <si>
    <t>20260505_Ch8_20cm</t>
  </si>
  <si>
    <t>20260505_Ch9_5cm</t>
  </si>
  <si>
    <t>20260505_Ch9_20cm</t>
  </si>
  <si>
    <t>20260505_Ch10_5cm</t>
  </si>
  <si>
    <t>20260505_Ch10_20cm</t>
  </si>
  <si>
    <t>20260505_Ch11_5cm</t>
  </si>
  <si>
    <t>20260505_Ch11_20cm</t>
  </si>
  <si>
    <t>20260505_Ch12_5cm</t>
  </si>
  <si>
    <t>20260505_Ch12_20cm</t>
  </si>
  <si>
    <t>ChkStd_12mLLowTri1</t>
  </si>
  <si>
    <t>STEEP_GWI_WC_B_T0</t>
  </si>
  <si>
    <t>STEEP_GWI_WC_B_T1</t>
  </si>
  <si>
    <t>STEEP_GWI_WC_B_T2</t>
  </si>
  <si>
    <t>STEEP_GWI_WC_B_T3</t>
  </si>
  <si>
    <t>STEEP_GWI_WC_B_T4</t>
  </si>
  <si>
    <t>STEEP_GWI_WC_B_T5</t>
  </si>
  <si>
    <t>STEEP_GWI_WC_B_T6</t>
  </si>
  <si>
    <t>STEEP_GWI_WC_C_T0</t>
  </si>
  <si>
    <t>STEEP_GWI_WC_C_T1</t>
  </si>
  <si>
    <t>STEEP_GWI_WC_C_T2</t>
  </si>
  <si>
    <t>STEEP_GWI_WC_C_T3</t>
  </si>
  <si>
    <t>STEEP_GWI_WC_C_T4</t>
  </si>
  <si>
    <t>STEEP_GWI_WC_C_T5</t>
  </si>
  <si>
    <t>STEEP_GWI_WC_C_T6</t>
  </si>
  <si>
    <t>20260414_Ch12_20cm_2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</si>
</sst>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Sheet1!$C$5:$C$9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xVal>
          <c:yVal>
            <c:numRef>
              <c:f>Sheet1!$F$5:$F$9</c:f>
              <c:numCache>
                <c:formatCode>General</c:formatCode>
                <c:ptCount val="5"/>
                <c:pt idx="0">
                  <c:v>9793</c:v>
                </c:pt>
                <c:pt idx="1">
                  <c:v>159880</c:v>
                </c:pt>
                <c:pt idx="2">
                  <c:v>312003</c:v>
                </c:pt>
                <c:pt idx="3">
                  <c:v>455887</c:v>
                </c:pt>
                <c:pt idx="4">
                  <c:v>594104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7A-4AED-87C2-0604F7C7D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051327"/>
        <c:axId val="1131053247"/>
      </c:scatterChart>
      <c:valAx>
        <c:axId val="113105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53247"/>
        <c:crosses val="autoZero"/>
        <c:crossBetween val="midCat"/>
      </c:valAx>
      <c:valAx>
        <c:axId val="11310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5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  <a:r>
              <a:rPr lang="en-US" baseline="0"/>
              <a:t> mid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Sheet1!$C$5:$C$13</c:f>
              <c:numCache>
                <c:formatCode>General</c:formatCode>
                <c:ptCount val="9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15000</c:v>
                </c:pt>
                <c:pt idx="8">
                  <c:v>20000</c:v>
                </c:pt>
              </c:numCache>
            </c:numRef>
          </c:xVal>
          <c:yVal>
            <c:numRef>
              <c:f>Sheet1!$F$5:$F$13</c:f>
              <c:numCache>
                <c:formatCode>General</c:formatCode>
                <c:ptCount val="9"/>
                <c:pt idx="0">
                  <c:v>9793</c:v>
                </c:pt>
                <c:pt idx="1">
                  <c:v>159880</c:v>
                </c:pt>
                <c:pt idx="2">
                  <c:v>312003</c:v>
                </c:pt>
                <c:pt idx="3">
                  <c:v>455887</c:v>
                </c:pt>
                <c:pt idx="4">
                  <c:v>594104</c:v>
                </c:pt>
                <c:pt idx="5">
                  <c:v>1412650</c:v>
                </c:pt>
                <c:pt idx="6">
                  <c:v>2616172</c:v>
                </c:pt>
                <c:pt idx="7">
                  <c:v>3816462</c:v>
                </c:pt>
                <c:pt idx="8">
                  <c:v>4867987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3-4717-B4EF-6FD00DBDF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979103"/>
        <c:axId val="1915978143"/>
      </c:scatterChart>
      <c:valAx>
        <c:axId val="191597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78143"/>
        <c:crosses val="autoZero"/>
        <c:crossBetween val="midCat"/>
      </c:valAx>
      <c:valAx>
        <c:axId val="19159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7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Sheet1!$C$5:$C$17</c:f>
              <c:numCache>
                <c:formatCode>General</c:formatCode>
                <c:ptCount val="13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15000</c:v>
                </c:pt>
                <c:pt idx="8">
                  <c:v>20000</c:v>
                </c:pt>
                <c:pt idx="9">
                  <c:v>12525</c:v>
                </c:pt>
                <c:pt idx="10">
                  <c:v>25050</c:v>
                </c:pt>
                <c:pt idx="11">
                  <c:v>37575</c:v>
                </c:pt>
                <c:pt idx="12">
                  <c:v>50100</c:v>
                </c:pt>
              </c:numCache>
            </c:numRef>
          </c:xVal>
          <c:yVal>
            <c:numRef>
              <c:f>Sheet1!$F$5:$F$17</c:f>
              <c:numCache>
                <c:formatCode>General</c:formatCode>
                <c:ptCount val="13"/>
                <c:pt idx="0">
                  <c:v>9793</c:v>
                </c:pt>
                <c:pt idx="1">
                  <c:v>159880</c:v>
                </c:pt>
                <c:pt idx="2">
                  <c:v>312003</c:v>
                </c:pt>
                <c:pt idx="3">
                  <c:v>455887</c:v>
                </c:pt>
                <c:pt idx="4">
                  <c:v>594104</c:v>
                </c:pt>
                <c:pt idx="5">
                  <c:v>1412650</c:v>
                </c:pt>
                <c:pt idx="6">
                  <c:v>2616172</c:v>
                </c:pt>
                <c:pt idx="7">
                  <c:v>3816462</c:v>
                </c:pt>
                <c:pt idx="8">
                  <c:v>4867987</c:v>
                </c:pt>
                <c:pt idx="9">
                  <c:v>3498924</c:v>
                </c:pt>
                <c:pt idx="10">
                  <c:v>5932879</c:v>
                </c:pt>
                <c:pt idx="11">
                  <c:v>8259256</c:v>
                </c:pt>
                <c:pt idx="12">
                  <c:v>10587934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DC-4F61-A185-2660308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288863"/>
        <c:axId val="2047937695"/>
      </c:scatterChart>
      <c:valAx>
        <c:axId val="204928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937695"/>
        <c:crosses val="autoZero"/>
        <c:crossBetween val="midCat"/>
      </c:valAx>
      <c:valAx>
        <c:axId val="204793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28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Sheet1!$D$5:$D$9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Sheet1!$G$5:$G$9</c:f>
              <c:numCache>
                <c:formatCode>General</c:formatCode>
                <c:ptCount val="5"/>
                <c:pt idx="0">
                  <c:v>69</c:v>
                </c:pt>
                <c:pt idx="1">
                  <c:v>1617</c:v>
                </c:pt>
                <c:pt idx="2">
                  <c:v>3179</c:v>
                </c:pt>
                <c:pt idx="3">
                  <c:v>4638</c:v>
                </c:pt>
                <c:pt idx="4">
                  <c:v>5968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1-4303-B00B-11E60AFD8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162223"/>
        <c:axId val="1909159823"/>
      </c:scatterChart>
      <c:valAx>
        <c:axId val="190916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59823"/>
        <c:crosses val="autoZero"/>
        <c:crossBetween val="midCat"/>
      </c:valAx>
      <c:valAx>
        <c:axId val="19091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6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mid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Sheet1!$D$5:$D$13</c:f>
              <c:numCache>
                <c:formatCode>General</c:formatCode>
                <c:ptCount val="9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</c:numCache>
            </c:numRef>
          </c:xVal>
          <c:yVal>
            <c:numRef>
              <c:f>Sheet1!$G$5:$G$13</c:f>
              <c:numCache>
                <c:formatCode>General</c:formatCode>
                <c:ptCount val="9"/>
                <c:pt idx="0">
                  <c:v>69</c:v>
                </c:pt>
                <c:pt idx="1">
                  <c:v>1617</c:v>
                </c:pt>
                <c:pt idx="2">
                  <c:v>3179</c:v>
                </c:pt>
                <c:pt idx="3">
                  <c:v>4638</c:v>
                </c:pt>
                <c:pt idx="4">
                  <c:v>5968</c:v>
                </c:pt>
                <c:pt idx="5">
                  <c:v>14927</c:v>
                </c:pt>
                <c:pt idx="6">
                  <c:v>29097</c:v>
                </c:pt>
                <c:pt idx="7">
                  <c:v>44597</c:v>
                </c:pt>
                <c:pt idx="8">
                  <c:v>59218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A-4F80-B4A9-A4C5539FD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0140047"/>
        <c:axId val="1170140527"/>
      </c:scatterChart>
      <c:valAx>
        <c:axId val="117014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40527"/>
        <c:crosses val="autoZero"/>
        <c:crossBetween val="midCat"/>
      </c:valAx>
      <c:valAx>
        <c:axId val="117014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14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  <a:r>
              <a:rPr lang="en-US" baseline="0"/>
              <a:t> high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Sheet1!$D$5:$D$21</c:f>
              <c:numCache>
                <c:formatCode>General</c:formatCode>
                <c:ptCount val="17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251.5</c:v>
                </c:pt>
                <c:pt idx="10">
                  <c:v>503</c:v>
                </c:pt>
                <c:pt idx="11">
                  <c:v>754.5</c:v>
                </c:pt>
                <c:pt idx="12">
                  <c:v>1006</c:v>
                </c:pt>
                <c:pt idx="13">
                  <c:v>2500</c:v>
                </c:pt>
                <c:pt idx="14">
                  <c:v>5000</c:v>
                </c:pt>
                <c:pt idx="15">
                  <c:v>7500</c:v>
                </c:pt>
                <c:pt idx="16">
                  <c:v>10000</c:v>
                </c:pt>
              </c:numCache>
            </c:numRef>
          </c:xVal>
          <c:yVal>
            <c:numRef>
              <c:f>Sheet1!$G$5:$G$21</c:f>
              <c:numCache>
                <c:formatCode>General</c:formatCode>
                <c:ptCount val="17"/>
                <c:pt idx="0">
                  <c:v>69</c:v>
                </c:pt>
                <c:pt idx="1">
                  <c:v>1617</c:v>
                </c:pt>
                <c:pt idx="2">
                  <c:v>3179</c:v>
                </c:pt>
                <c:pt idx="3">
                  <c:v>4638</c:v>
                </c:pt>
                <c:pt idx="4">
                  <c:v>5968</c:v>
                </c:pt>
                <c:pt idx="5">
                  <c:v>14927</c:v>
                </c:pt>
                <c:pt idx="6">
                  <c:v>29097</c:v>
                </c:pt>
                <c:pt idx="7">
                  <c:v>44597</c:v>
                </c:pt>
                <c:pt idx="8">
                  <c:v>59218</c:v>
                </c:pt>
                <c:pt idx="9">
                  <c:v>159617</c:v>
                </c:pt>
                <c:pt idx="10">
                  <c:v>296981</c:v>
                </c:pt>
                <c:pt idx="11">
                  <c:v>441704</c:v>
                </c:pt>
                <c:pt idx="12">
                  <c:v>599693</c:v>
                </c:pt>
                <c:pt idx="13">
                  <c:v>1523429</c:v>
                </c:pt>
                <c:pt idx="14">
                  <c:v>3047885</c:v>
                </c:pt>
                <c:pt idx="15">
                  <c:v>4493466</c:v>
                </c:pt>
                <c:pt idx="16">
                  <c:v>5833568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15-433C-926C-6405B7316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757263"/>
        <c:axId val="1131039951"/>
      </c:scatterChart>
      <c:valAx>
        <c:axId val="116975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039951"/>
        <c:crosses val="autoZero"/>
        <c:crossBetween val="midCat"/>
      </c:valAx>
      <c:valAx>
        <c:axId val="113103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5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</a:t>
            </a:r>
            <a:r>
              <a:rPr lang="en-US" baseline="0"/>
              <a:t> 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Sheet1!$E$5:$E$9</c:f>
              <c:numCache>
                <c:formatCode>General</c:formatCode>
                <c:ptCount val="5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</c:numCache>
            </c:numRef>
          </c:xVal>
          <c:yVal>
            <c:numRef>
              <c:f>Sheet1!$H$5:$H$9</c:f>
              <c:numCache>
                <c:formatCode>General</c:formatCode>
                <c:ptCount val="5"/>
                <c:pt idx="0">
                  <c:v>0</c:v>
                </c:pt>
                <c:pt idx="1">
                  <c:v>3042</c:v>
                </c:pt>
                <c:pt idx="2">
                  <c:v>5885</c:v>
                </c:pt>
                <c:pt idx="3">
                  <c:v>8897</c:v>
                </c:pt>
                <c:pt idx="4">
                  <c:v>11742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15-46B4-9391-8AB3E019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343583"/>
        <c:axId val="2035344063"/>
      </c:scatterChart>
      <c:valAx>
        <c:axId val="203534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44063"/>
        <c:crosses val="autoZero"/>
        <c:crossBetween val="midCat"/>
      </c:valAx>
      <c:valAx>
        <c:axId val="203534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</a:t>
            </a:r>
            <a:r>
              <a:rPr lang="en-US" baseline="0"/>
              <a:t> mid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Sheet1!$E$5:$E$13</c:f>
              <c:numCache>
                <c:formatCode>General</c:formatCode>
                <c:ptCount val="9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12.55</c:v>
                </c:pt>
                <c:pt idx="6">
                  <c:v>25.1</c:v>
                </c:pt>
                <c:pt idx="7">
                  <c:v>37.650000000000006</c:v>
                </c:pt>
                <c:pt idx="8">
                  <c:v>50.2</c:v>
                </c:pt>
              </c:numCache>
            </c:numRef>
          </c:xVal>
          <c:yVal>
            <c:numRef>
              <c:f>Sheet1!$H$5:$H$13</c:f>
              <c:numCache>
                <c:formatCode>General</c:formatCode>
                <c:ptCount val="9"/>
                <c:pt idx="0">
                  <c:v>0</c:v>
                </c:pt>
                <c:pt idx="1">
                  <c:v>3042</c:v>
                </c:pt>
                <c:pt idx="2">
                  <c:v>5885</c:v>
                </c:pt>
                <c:pt idx="3">
                  <c:v>8897</c:v>
                </c:pt>
                <c:pt idx="4">
                  <c:v>11742</c:v>
                </c:pt>
                <c:pt idx="5">
                  <c:v>28472</c:v>
                </c:pt>
                <c:pt idx="6">
                  <c:v>53475</c:v>
                </c:pt>
                <c:pt idx="7">
                  <c:v>79390</c:v>
                </c:pt>
                <c:pt idx="8">
                  <c:v>102751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F-48CA-A127-ABD0F7C07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722223"/>
        <c:axId val="1169722703"/>
      </c:scatterChart>
      <c:valAx>
        <c:axId val="116972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22703"/>
        <c:crosses val="autoZero"/>
        <c:crossBetween val="midCat"/>
      </c:valAx>
      <c:valAx>
        <c:axId val="116972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2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Sheet1!$E$5:$E$17</c:f>
              <c:numCache>
                <c:formatCode>General</c:formatCode>
                <c:ptCount val="13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12.55</c:v>
                </c:pt>
                <c:pt idx="6">
                  <c:v>25.1</c:v>
                </c:pt>
                <c:pt idx="7">
                  <c:v>37.650000000000006</c:v>
                </c:pt>
                <c:pt idx="8">
                  <c:v>50.2</c:v>
                </c:pt>
                <c:pt idx="9">
                  <c:v>125</c:v>
                </c:pt>
                <c:pt idx="10">
                  <c:v>250</c:v>
                </c:pt>
                <c:pt idx="11">
                  <c:v>375</c:v>
                </c:pt>
                <c:pt idx="12">
                  <c:v>500</c:v>
                </c:pt>
              </c:numCache>
            </c:numRef>
          </c:xVal>
          <c:yVal>
            <c:numRef>
              <c:f>Sheet1!$H$5:$H$17</c:f>
              <c:numCache>
                <c:formatCode>General</c:formatCode>
                <c:ptCount val="13"/>
                <c:pt idx="0">
                  <c:v>0</c:v>
                </c:pt>
                <c:pt idx="1">
                  <c:v>3042</c:v>
                </c:pt>
                <c:pt idx="2">
                  <c:v>5885</c:v>
                </c:pt>
                <c:pt idx="3">
                  <c:v>8897</c:v>
                </c:pt>
                <c:pt idx="4">
                  <c:v>11742</c:v>
                </c:pt>
                <c:pt idx="5">
                  <c:v>28472</c:v>
                </c:pt>
                <c:pt idx="6">
                  <c:v>53475</c:v>
                </c:pt>
                <c:pt idx="7">
                  <c:v>79390</c:v>
                </c:pt>
                <c:pt idx="8">
                  <c:v>102751</c:v>
                </c:pt>
                <c:pt idx="9">
                  <c:v>214421</c:v>
                </c:pt>
                <c:pt idx="10">
                  <c:v>360910</c:v>
                </c:pt>
                <c:pt idx="11">
                  <c:v>505295</c:v>
                </c:pt>
                <c:pt idx="12">
                  <c:v>649969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C-4476-856D-AAD9D519D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509135"/>
        <c:axId val="1218509615"/>
      </c:scatterChart>
      <c:valAx>
        <c:axId val="121850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09615"/>
        <c:crosses val="autoZero"/>
        <c:crossBetween val="midCat"/>
      </c:valAx>
      <c:valAx>
        <c:axId val="12185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509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391584</xdr:colOff>
      <xdr:row>0</xdr:row>
      <xdr:rowOff>178858</xdr:rowOff>
    </xdr:from>
    <xdr:to>
      <xdr:col>16</xdr:col>
      <xdr:colOff>52917</xdr:colOff>
      <xdr:row>15</xdr:row>
      <xdr:rowOff>64558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66816-DA30-EC74-F040-CB7E4904A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328084</xdr:colOff>
      <xdr:row>16</xdr:row>
      <xdr:rowOff>20108</xdr:rowOff>
    </xdr:from>
    <xdr:to>
      <xdr:col>15</xdr:col>
      <xdr:colOff>603250</xdr:colOff>
      <xdr:row>28</xdr:row>
      <xdr:rowOff>96308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5E6810-28AA-C4BF-1758-3E4B5EA1B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158751</xdr:colOff>
      <xdr:row>28</xdr:row>
      <xdr:rowOff>125942</xdr:rowOff>
    </xdr:from>
    <xdr:to>
      <xdr:col>15</xdr:col>
      <xdr:colOff>433917</xdr:colOff>
      <xdr:row>43</xdr:row>
      <xdr:rowOff>11642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CD7BB5-5D6B-D77E-4D2C-BAEEF1994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31750</xdr:colOff>
      <xdr:row>0</xdr:row>
      <xdr:rowOff>125941</xdr:rowOff>
    </xdr:from>
    <xdr:to>
      <xdr:col>23</xdr:col>
      <xdr:colOff>306917</xdr:colOff>
      <xdr:row>15</xdr:row>
      <xdr:rowOff>11641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FE282E-53B2-7ECF-3EB7-10C8F05CD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190500</xdr:colOff>
      <xdr:row>15</xdr:row>
      <xdr:rowOff>157691</xdr:rowOff>
    </xdr:from>
    <xdr:to>
      <xdr:col>23</xdr:col>
      <xdr:colOff>465667</xdr:colOff>
      <xdr:row>28</xdr:row>
      <xdr:rowOff>43391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9496F0-2124-8865-EC51-BED7BD930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21167</xdr:colOff>
      <xdr:row>28</xdr:row>
      <xdr:rowOff>30692</xdr:rowOff>
    </xdr:from>
    <xdr:to>
      <xdr:col>23</xdr:col>
      <xdr:colOff>296334</xdr:colOff>
      <xdr:row>42</xdr:row>
      <xdr:rowOff>106892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42AE09C-9D07-7E4C-8CAE-8B6F8EBE8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497417</xdr:colOff>
      <xdr:row>0</xdr:row>
      <xdr:rowOff>62441</xdr:rowOff>
    </xdr:from>
    <xdr:to>
      <xdr:col>31</xdr:col>
      <xdr:colOff>158750</xdr:colOff>
      <xdr:row>14</xdr:row>
      <xdr:rowOff>138641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537473-923E-049B-A6E9-C7EAD807D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508001</xdr:colOff>
      <xdr:row>14</xdr:row>
      <xdr:rowOff>189441</xdr:rowOff>
    </xdr:from>
    <xdr:to>
      <xdr:col>31</xdr:col>
      <xdr:colOff>169334</xdr:colOff>
      <xdr:row>28</xdr:row>
      <xdr:rowOff>75141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8DB751-DFE8-5AA7-CCFF-9CBD82F95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529149</xdr:colOff>
      <xdr:row>30</xdr:row>
      <xdr:rowOff>147106</xdr:rowOff>
    </xdr:from>
    <xdr:to>
      <xdr:col>31</xdr:col>
      <xdr:colOff>190482</xdr:colOff>
      <xdr:row>45</xdr:row>
      <xdr:rowOff>32806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4F6B17B-22E0-EF3F-6DFD-02DA1F5C7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D635-0FBF-49A7-8BE6-0149477EA006}">
  <dimension ref="A1:I73"/>
  <sheetViews>
    <sheetView tabSelected="1" topLeftCell="A40" zoomScale="90" zoomScaleNormal="90" workbookViewId="0">
      <selection activeCell="F73" sqref="F73"/>
    </sheetView>
  </sheetViews>
  <sheetFormatPr defaultRowHeight="15" x14ac:dyDescent="0.25"/>
  <cols>
    <col min="1" max="1" width="24.42578125" bestFit="1" customWidth="1"/>
    <col min="6" max="6" width="10" bestFit="1" customWidth="1"/>
  </cols>
  <sheetData>
    <row r="1" spans="1: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 t="s">
        <v>27</v>
      </c>
      <c r="B2" t="s">
        <v>0</v>
      </c>
      <c r="C2" t="s">
        <v>1</v>
      </c>
      <c r="D2" t="s">
        <v>1</v>
      </c>
      <c r="E2" t="s">
        <v>1</v>
      </c>
      <c r="F2">
        <v>150922</v>
      </c>
      <c r="G2">
        <v>1220</v>
      </c>
      <c r="H2">
        <v>835</v>
      </c>
    </row>
    <row r="3" spans="1:9" x14ac:dyDescent="0.25">
      <c r="A3" t="s">
        <v>28</v>
      </c>
      <c r="B3" t="s">
        <v>2</v>
      </c>
      <c r="C3" t="s">
        <v>1</v>
      </c>
      <c r="D3" t="s">
        <v>1</v>
      </c>
      <c r="E3" t="s">
        <v>1</v>
      </c>
      <c r="F3">
        <v>9100</v>
      </c>
      <c r="G3">
        <v>79</v>
      </c>
      <c r="H3">
        <v>33</v>
      </c>
    </row>
    <row r="4" spans="1:9" x14ac:dyDescent="0.25">
      <c r="A4" t="s">
        <v>29</v>
      </c>
      <c r="B4" t="s">
        <v>2</v>
      </c>
      <c r="C4" t="s">
        <v>1</v>
      </c>
      <c r="D4" t="s">
        <v>1</v>
      </c>
      <c r="E4" t="s">
        <v>1</v>
      </c>
      <c r="F4">
        <v>8930</v>
      </c>
      <c r="G4">
        <v>118</v>
      </c>
      <c r="H4">
        <v>23</v>
      </c>
    </row>
    <row r="5" spans="1:9" x14ac:dyDescent="0.25">
      <c r="A5" t="s">
        <v>30</v>
      </c>
      <c r="B5" t="s">
        <v>3</v>
      </c>
      <c r="C5">
        <v>0</v>
      </c>
      <c r="D5">
        <v>0</v>
      </c>
      <c r="E5">
        <v>0</v>
      </c>
      <c r="F5">
        <v>9793</v>
      </c>
      <c r="G5">
        <v>69</v>
      </c>
      <c r="H5">
        <v>0</v>
      </c>
    </row>
    <row r="6" spans="1:9" x14ac:dyDescent="0.25">
      <c r="A6" t="s">
        <v>31</v>
      </c>
      <c r="B6" t="s">
        <v>3</v>
      </c>
      <c r="C6">
        <f>(3/12)*2000</f>
        <v>500</v>
      </c>
      <c r="D6">
        <f>(3/12)*10</f>
        <v>2.5</v>
      </c>
      <c r="E6">
        <f>(3/12)*5</f>
        <v>1.25</v>
      </c>
      <c r="F6">
        <v>159880</v>
      </c>
      <c r="G6">
        <v>1617</v>
      </c>
      <c r="H6">
        <v>3042</v>
      </c>
    </row>
    <row r="7" spans="1:9" x14ac:dyDescent="0.25">
      <c r="A7" t="s">
        <v>32</v>
      </c>
      <c r="B7" t="s">
        <v>3</v>
      </c>
      <c r="C7">
        <f>(6/12)*2000</f>
        <v>1000</v>
      </c>
      <c r="D7">
        <f>(6/12)*10</f>
        <v>5</v>
      </c>
      <c r="E7">
        <f>(6/12)*5</f>
        <v>2.5</v>
      </c>
      <c r="F7">
        <v>312003</v>
      </c>
      <c r="G7">
        <v>3179</v>
      </c>
      <c r="H7">
        <v>5885</v>
      </c>
    </row>
    <row r="8" spans="1:9" x14ac:dyDescent="0.25">
      <c r="A8" t="s">
        <v>33</v>
      </c>
      <c r="B8" t="s">
        <v>3</v>
      </c>
      <c r="C8">
        <f>(9/12)*2000</f>
        <v>1500</v>
      </c>
      <c r="D8">
        <f>(9/12)*10</f>
        <v>7.5</v>
      </c>
      <c r="E8">
        <f>(9/12)*5</f>
        <v>3.75</v>
      </c>
      <c r="F8">
        <v>455887</v>
      </c>
      <c r="G8">
        <v>4638</v>
      </c>
      <c r="H8">
        <v>8897</v>
      </c>
    </row>
    <row r="9" spans="1:9" x14ac:dyDescent="0.25">
      <c r="A9" s="1" t="s">
        <v>34</v>
      </c>
      <c r="B9" s="1" t="s">
        <v>3</v>
      </c>
      <c r="C9" s="1">
        <f>(12/12)*2000</f>
        <v>2000</v>
      </c>
      <c r="D9" s="1">
        <f>(12/12)*10</f>
        <v>10</v>
      </c>
      <c r="E9" s="1">
        <f>(12/12)*5</f>
        <v>5</v>
      </c>
      <c r="F9">
        <v>594104</v>
      </c>
      <c r="G9">
        <v>5968</v>
      </c>
      <c r="H9">
        <v>11742</v>
      </c>
    </row>
    <row r="10" spans="1:9" x14ac:dyDescent="0.25">
      <c r="A10" t="s">
        <v>35</v>
      </c>
      <c r="B10" t="s">
        <v>3</v>
      </c>
      <c r="C10">
        <f>(3/12)*20000</f>
        <v>5000</v>
      </c>
      <c r="D10">
        <f>(3/12)*100</f>
        <v>25</v>
      </c>
      <c r="E10">
        <f>(3/12)*50.2</f>
        <v>12.55</v>
      </c>
      <c r="F10">
        <v>1412650</v>
      </c>
      <c r="G10">
        <v>14927</v>
      </c>
      <c r="H10">
        <v>28472</v>
      </c>
    </row>
    <row r="11" spans="1:9" x14ac:dyDescent="0.25">
      <c r="A11" t="s">
        <v>36</v>
      </c>
      <c r="B11" t="s">
        <v>3</v>
      </c>
      <c r="C11">
        <f>(6/12)*20000</f>
        <v>10000</v>
      </c>
      <c r="D11">
        <f>(6/12)*100</f>
        <v>50</v>
      </c>
      <c r="E11">
        <f>(6/12)*50.2</f>
        <v>25.1</v>
      </c>
      <c r="F11">
        <v>2616172</v>
      </c>
      <c r="G11">
        <v>29097</v>
      </c>
      <c r="H11">
        <v>53475</v>
      </c>
    </row>
    <row r="12" spans="1:9" x14ac:dyDescent="0.25">
      <c r="A12" t="s">
        <v>37</v>
      </c>
      <c r="B12" t="s">
        <v>3</v>
      </c>
      <c r="C12">
        <f>(9/12)*20000</f>
        <v>15000</v>
      </c>
      <c r="D12">
        <f>(9/12)*100</f>
        <v>75</v>
      </c>
      <c r="E12">
        <f>(9/12)*50.2</f>
        <v>37.650000000000006</v>
      </c>
      <c r="F12">
        <v>3816462</v>
      </c>
      <c r="G12">
        <v>44597</v>
      </c>
      <c r="H12">
        <v>79390</v>
      </c>
    </row>
    <row r="13" spans="1:9" x14ac:dyDescent="0.25">
      <c r="A13" t="s">
        <v>38</v>
      </c>
      <c r="B13" t="s">
        <v>3</v>
      </c>
      <c r="C13">
        <f>(12/12)*20000</f>
        <v>20000</v>
      </c>
      <c r="D13">
        <f>(12/12)*100</f>
        <v>100</v>
      </c>
      <c r="E13">
        <f>(12/12)*50.2</f>
        <v>50.2</v>
      </c>
      <c r="F13">
        <v>4867987</v>
      </c>
      <c r="G13">
        <v>59218</v>
      </c>
      <c r="H13">
        <v>102751</v>
      </c>
    </row>
    <row r="14" spans="1:9" x14ac:dyDescent="0.25">
      <c r="A14" t="s">
        <v>39</v>
      </c>
      <c r="B14" t="s">
        <v>3</v>
      </c>
      <c r="C14">
        <f>(3/12)*C17</f>
        <v>12525</v>
      </c>
      <c r="D14">
        <f>(3/12)*D17</f>
        <v>251.5</v>
      </c>
      <c r="E14">
        <f>(3/12)*500</f>
        <v>125</v>
      </c>
      <c r="F14">
        <v>3498924</v>
      </c>
      <c r="G14">
        <v>159617</v>
      </c>
      <c r="H14">
        <v>214421</v>
      </c>
    </row>
    <row r="15" spans="1:9" x14ac:dyDescent="0.25">
      <c r="A15" t="s">
        <v>40</v>
      </c>
      <c r="B15" t="s">
        <v>3</v>
      </c>
      <c r="C15">
        <f>(6/12)*C17</f>
        <v>25050</v>
      </c>
      <c r="D15">
        <f>(6/12)*D17</f>
        <v>503</v>
      </c>
      <c r="E15">
        <f>(6/12)*500</f>
        <v>250</v>
      </c>
      <c r="F15">
        <v>5932879</v>
      </c>
      <c r="G15">
        <v>296981</v>
      </c>
      <c r="H15">
        <v>360910</v>
      </c>
    </row>
    <row r="16" spans="1:9" x14ac:dyDescent="0.25">
      <c r="A16" t="s">
        <v>41</v>
      </c>
      <c r="B16" t="s">
        <v>3</v>
      </c>
      <c r="C16">
        <f>(9/12)*C17</f>
        <v>37575</v>
      </c>
      <c r="D16">
        <f>(9/12)*D17</f>
        <v>754.5</v>
      </c>
      <c r="E16">
        <f>(9/12)*500</f>
        <v>375</v>
      </c>
      <c r="F16">
        <v>8259256</v>
      </c>
      <c r="G16">
        <v>441704</v>
      </c>
      <c r="H16">
        <v>505295</v>
      </c>
    </row>
    <row r="17" spans="1:8" x14ac:dyDescent="0.25">
      <c r="A17" t="s">
        <v>42</v>
      </c>
      <c r="B17" t="s">
        <v>3</v>
      </c>
      <c r="C17">
        <v>50100</v>
      </c>
      <c r="D17">
        <v>1006</v>
      </c>
      <c r="E17">
        <f>(12/12)*500</f>
        <v>500</v>
      </c>
      <c r="F17">
        <v>10587934</v>
      </c>
      <c r="G17">
        <v>599693</v>
      </c>
      <c r="H17">
        <v>649969</v>
      </c>
    </row>
    <row r="18" spans="1:8" x14ac:dyDescent="0.25">
      <c r="A18" t="s">
        <v>43</v>
      </c>
      <c r="B18" t="s">
        <v>3</v>
      </c>
      <c r="C18" t="s">
        <v>1</v>
      </c>
      <c r="D18">
        <v>2500</v>
      </c>
      <c r="E18" t="s">
        <v>1</v>
      </c>
      <c r="F18">
        <v>58116</v>
      </c>
      <c r="G18">
        <v>1523429</v>
      </c>
      <c r="H18">
        <v>4964</v>
      </c>
    </row>
    <row r="19" spans="1:8" x14ac:dyDescent="0.25">
      <c r="A19" t="s">
        <v>44</v>
      </c>
      <c r="B19" t="s">
        <v>3</v>
      </c>
      <c r="C19" t="s">
        <v>1</v>
      </c>
      <c r="D19">
        <v>5000</v>
      </c>
      <c r="E19" t="s">
        <v>1</v>
      </c>
      <c r="F19">
        <v>166817</v>
      </c>
      <c r="G19">
        <v>3047885</v>
      </c>
      <c r="H19">
        <v>1822</v>
      </c>
    </row>
    <row r="20" spans="1:8" x14ac:dyDescent="0.25">
      <c r="A20" t="s">
        <v>45</v>
      </c>
      <c r="B20" t="s">
        <v>3</v>
      </c>
      <c r="C20" t="s">
        <v>1</v>
      </c>
      <c r="D20">
        <v>7500</v>
      </c>
      <c r="E20" t="s">
        <v>1</v>
      </c>
      <c r="F20">
        <v>15358</v>
      </c>
      <c r="G20">
        <v>4493466</v>
      </c>
      <c r="H20">
        <v>597</v>
      </c>
    </row>
    <row r="21" spans="1:8" x14ac:dyDescent="0.25">
      <c r="A21" t="s">
        <v>46</v>
      </c>
      <c r="B21" t="s">
        <v>3</v>
      </c>
      <c r="C21" t="s">
        <v>1</v>
      </c>
      <c r="D21">
        <v>10000</v>
      </c>
      <c r="E21" t="s">
        <v>1</v>
      </c>
      <c r="F21">
        <v>10185</v>
      </c>
      <c r="G21">
        <v>5833568</v>
      </c>
      <c r="H21">
        <v>289</v>
      </c>
    </row>
    <row r="22" spans="1:8" x14ac:dyDescent="0.25">
      <c r="A22" t="s">
        <v>19</v>
      </c>
      <c r="B22" t="s">
        <v>2</v>
      </c>
      <c r="C22" t="s">
        <v>1</v>
      </c>
      <c r="D22" t="s">
        <v>1</v>
      </c>
      <c r="E22" t="s">
        <v>1</v>
      </c>
      <c r="F22">
        <v>7965</v>
      </c>
      <c r="G22">
        <v>7619</v>
      </c>
      <c r="H22">
        <v>178</v>
      </c>
    </row>
    <row r="23" spans="1:8" x14ac:dyDescent="0.25">
      <c r="A23" t="s">
        <v>18</v>
      </c>
      <c r="B23" t="s">
        <v>2</v>
      </c>
      <c r="C23" t="s">
        <v>1</v>
      </c>
      <c r="D23" t="s">
        <v>1</v>
      </c>
      <c r="E23" t="s">
        <v>1</v>
      </c>
      <c r="F23">
        <v>10899</v>
      </c>
      <c r="G23">
        <v>1001</v>
      </c>
      <c r="H23">
        <v>316</v>
      </c>
    </row>
    <row r="24" spans="1:8" x14ac:dyDescent="0.25">
      <c r="A24" s="1" t="s">
        <v>71</v>
      </c>
      <c r="B24" s="1" t="s">
        <v>3</v>
      </c>
      <c r="C24" s="1">
        <f>(12/12)*2000</f>
        <v>2000</v>
      </c>
      <c r="D24" s="1">
        <f>(12/12)*10</f>
        <v>10</v>
      </c>
      <c r="E24" s="1">
        <f>(12/12)*5</f>
        <v>5</v>
      </c>
      <c r="F24">
        <v>583661</v>
      </c>
      <c r="G24">
        <v>6381</v>
      </c>
      <c r="H24">
        <v>12460</v>
      </c>
    </row>
    <row r="25" spans="1:8" x14ac:dyDescent="0.25">
      <c r="A25" t="s">
        <v>17</v>
      </c>
      <c r="B25" t="s">
        <v>2</v>
      </c>
      <c r="C25" t="s">
        <v>1</v>
      </c>
      <c r="D25" t="s">
        <v>1</v>
      </c>
      <c r="E25" t="s">
        <v>1</v>
      </c>
      <c r="F25">
        <v>10231</v>
      </c>
      <c r="G25">
        <v>336</v>
      </c>
      <c r="H25">
        <v>196</v>
      </c>
    </row>
    <row r="26" spans="1:8" x14ac:dyDescent="0.25">
      <c r="A26" t="s">
        <v>72</v>
      </c>
      <c r="B26" t="s">
        <v>14</v>
      </c>
      <c r="C26" t="s">
        <v>1</v>
      </c>
      <c r="D26" t="s">
        <v>1</v>
      </c>
      <c r="E26" t="s">
        <v>1</v>
      </c>
      <c r="F26">
        <v>7492304</v>
      </c>
      <c r="G26">
        <v>838</v>
      </c>
      <c r="H26">
        <v>3862</v>
      </c>
    </row>
    <row r="27" spans="1:8" x14ac:dyDescent="0.25">
      <c r="A27" t="s">
        <v>73</v>
      </c>
      <c r="B27" t="s">
        <v>14</v>
      </c>
      <c r="C27" t="s">
        <v>1</v>
      </c>
      <c r="D27" t="s">
        <v>1</v>
      </c>
      <c r="E27" t="s">
        <v>1</v>
      </c>
      <c r="F27">
        <v>7054612</v>
      </c>
      <c r="G27">
        <v>1331</v>
      </c>
      <c r="H27">
        <v>3938</v>
      </c>
    </row>
    <row r="28" spans="1:8" x14ac:dyDescent="0.25">
      <c r="A28" t="s">
        <v>74</v>
      </c>
      <c r="B28" t="s">
        <v>14</v>
      </c>
      <c r="C28" t="s">
        <v>1</v>
      </c>
      <c r="D28" t="s">
        <v>1</v>
      </c>
      <c r="E28" t="s">
        <v>1</v>
      </c>
      <c r="F28">
        <v>7388265</v>
      </c>
      <c r="G28">
        <v>1022</v>
      </c>
      <c r="H28">
        <v>5115</v>
      </c>
    </row>
    <row r="29" spans="1:8" x14ac:dyDescent="0.25">
      <c r="A29" t="s">
        <v>75</v>
      </c>
      <c r="B29" t="s">
        <v>14</v>
      </c>
      <c r="C29" t="s">
        <v>1</v>
      </c>
      <c r="D29" t="s">
        <v>1</v>
      </c>
      <c r="E29" t="s">
        <v>1</v>
      </c>
      <c r="F29">
        <v>5933054</v>
      </c>
      <c r="G29">
        <v>396</v>
      </c>
      <c r="H29">
        <v>6228</v>
      </c>
    </row>
    <row r="30" spans="1:8" x14ac:dyDescent="0.25">
      <c r="A30" t="s">
        <v>76</v>
      </c>
      <c r="B30" t="s">
        <v>14</v>
      </c>
      <c r="C30" t="s">
        <v>1</v>
      </c>
      <c r="D30" t="s">
        <v>1</v>
      </c>
      <c r="E30" t="s">
        <v>1</v>
      </c>
      <c r="F30">
        <v>7551227</v>
      </c>
      <c r="G30">
        <v>699</v>
      </c>
      <c r="H30">
        <v>9293</v>
      </c>
    </row>
    <row r="31" spans="1:8" x14ac:dyDescent="0.25">
      <c r="A31" t="s">
        <v>77</v>
      </c>
      <c r="B31" t="s">
        <v>14</v>
      </c>
      <c r="C31" t="s">
        <v>1</v>
      </c>
      <c r="D31" t="s">
        <v>1</v>
      </c>
      <c r="E31" t="s">
        <v>1</v>
      </c>
      <c r="F31">
        <v>7126026</v>
      </c>
      <c r="G31">
        <v>669</v>
      </c>
      <c r="H31">
        <v>3983</v>
      </c>
    </row>
    <row r="32" spans="1:8" x14ac:dyDescent="0.25">
      <c r="A32" t="s">
        <v>78</v>
      </c>
      <c r="B32" t="s">
        <v>14</v>
      </c>
      <c r="C32" t="s">
        <v>1</v>
      </c>
      <c r="D32" t="s">
        <v>1</v>
      </c>
      <c r="E32" t="s">
        <v>1</v>
      </c>
      <c r="F32">
        <v>8240573</v>
      </c>
      <c r="G32">
        <v>880</v>
      </c>
      <c r="H32">
        <v>3364</v>
      </c>
    </row>
    <row r="33" spans="1:8" x14ac:dyDescent="0.25">
      <c r="A33" t="s">
        <v>79</v>
      </c>
      <c r="B33" t="s">
        <v>14</v>
      </c>
      <c r="C33" t="s">
        <v>1</v>
      </c>
      <c r="D33" t="s">
        <v>1</v>
      </c>
      <c r="E33" t="s">
        <v>1</v>
      </c>
      <c r="F33">
        <v>10848235</v>
      </c>
      <c r="G33">
        <v>1304</v>
      </c>
      <c r="H33">
        <v>3420</v>
      </c>
    </row>
    <row r="34" spans="1:8" x14ac:dyDescent="0.25">
      <c r="A34" t="s">
        <v>80</v>
      </c>
      <c r="B34" t="s">
        <v>14</v>
      </c>
      <c r="C34" t="s">
        <v>1</v>
      </c>
      <c r="D34" t="s">
        <v>1</v>
      </c>
      <c r="E34" t="s">
        <v>1</v>
      </c>
      <c r="F34">
        <v>8512642</v>
      </c>
      <c r="G34">
        <v>1007</v>
      </c>
      <c r="H34">
        <v>8956</v>
      </c>
    </row>
    <row r="35" spans="1:8" x14ac:dyDescent="0.25">
      <c r="A35" t="s">
        <v>81</v>
      </c>
      <c r="B35" t="s">
        <v>14</v>
      </c>
      <c r="C35" t="s">
        <v>1</v>
      </c>
      <c r="D35" t="s">
        <v>1</v>
      </c>
      <c r="E35" t="s">
        <v>1</v>
      </c>
      <c r="F35">
        <v>7987736</v>
      </c>
      <c r="G35">
        <v>49737</v>
      </c>
      <c r="H35">
        <v>8984</v>
      </c>
    </row>
    <row r="36" spans="1:8" x14ac:dyDescent="0.25">
      <c r="A36" s="1" t="s">
        <v>15</v>
      </c>
      <c r="B36" s="1" t="s">
        <v>13</v>
      </c>
      <c r="C36" s="1" t="s">
        <v>1</v>
      </c>
      <c r="D36" s="1" t="s">
        <v>1</v>
      </c>
      <c r="E36" s="1" t="s">
        <v>1</v>
      </c>
      <c r="F36" s="1">
        <v>600113</v>
      </c>
      <c r="G36" s="1">
        <v>6149</v>
      </c>
      <c r="H36" s="1">
        <v>35617</v>
      </c>
    </row>
    <row r="37" spans="1:8" x14ac:dyDescent="0.25">
      <c r="A37" t="s">
        <v>16</v>
      </c>
      <c r="B37" t="s">
        <v>2</v>
      </c>
      <c r="C37" t="s">
        <v>1</v>
      </c>
      <c r="D37" t="s">
        <v>1</v>
      </c>
      <c r="E37" t="s">
        <v>1</v>
      </c>
      <c r="F37">
        <v>21281</v>
      </c>
      <c r="G37">
        <v>98</v>
      </c>
      <c r="H37">
        <v>543</v>
      </c>
    </row>
    <row r="38" spans="1:8" x14ac:dyDescent="0.25">
      <c r="A38" t="s">
        <v>82</v>
      </c>
      <c r="B38" t="s">
        <v>14</v>
      </c>
      <c r="C38" t="s">
        <v>1</v>
      </c>
      <c r="D38" t="s">
        <v>1</v>
      </c>
      <c r="E38" t="s">
        <v>1</v>
      </c>
      <c r="F38">
        <v>9192745</v>
      </c>
      <c r="G38">
        <v>92429</v>
      </c>
      <c r="H38">
        <v>3617</v>
      </c>
    </row>
    <row r="39" spans="1:8" x14ac:dyDescent="0.25">
      <c r="A39" t="s">
        <v>83</v>
      </c>
      <c r="B39" t="s">
        <v>14</v>
      </c>
      <c r="C39" t="s">
        <v>1</v>
      </c>
      <c r="D39" t="s">
        <v>1</v>
      </c>
      <c r="E39" t="s">
        <v>1</v>
      </c>
      <c r="F39">
        <v>8490556</v>
      </c>
      <c r="G39">
        <v>1505</v>
      </c>
      <c r="H39">
        <v>5873</v>
      </c>
    </row>
    <row r="40" spans="1:8" x14ac:dyDescent="0.25">
      <c r="A40" t="s">
        <v>84</v>
      </c>
      <c r="B40" t="s">
        <v>14</v>
      </c>
      <c r="C40" t="s">
        <v>1</v>
      </c>
      <c r="D40" t="s">
        <v>1</v>
      </c>
      <c r="E40" t="s">
        <v>1</v>
      </c>
      <c r="F40">
        <v>8496229</v>
      </c>
      <c r="G40">
        <v>1320</v>
      </c>
      <c r="H40">
        <v>14234</v>
      </c>
    </row>
    <row r="41" spans="1:8" x14ac:dyDescent="0.25">
      <c r="A41" t="s">
        <v>85</v>
      </c>
      <c r="B41" t="s">
        <v>14</v>
      </c>
      <c r="C41" t="s">
        <v>1</v>
      </c>
      <c r="D41" t="s">
        <v>1</v>
      </c>
      <c r="E41" t="s">
        <v>1</v>
      </c>
      <c r="F41">
        <v>12944409</v>
      </c>
      <c r="G41">
        <v>84</v>
      </c>
      <c r="H41">
        <v>11049</v>
      </c>
    </row>
    <row r="42" spans="1:8" x14ac:dyDescent="0.25">
      <c r="A42" t="s">
        <v>47</v>
      </c>
      <c r="B42" t="s">
        <v>14</v>
      </c>
      <c r="C42" t="s">
        <v>1</v>
      </c>
      <c r="D42" t="s">
        <v>1</v>
      </c>
      <c r="E42" t="s">
        <v>1</v>
      </c>
      <c r="F42">
        <v>4440043</v>
      </c>
      <c r="G42">
        <v>133134</v>
      </c>
      <c r="H42">
        <v>1945</v>
      </c>
    </row>
    <row r="43" spans="1:8" x14ac:dyDescent="0.25">
      <c r="A43" t="s">
        <v>48</v>
      </c>
      <c r="B43" t="s">
        <v>14</v>
      </c>
      <c r="C43" t="s">
        <v>1</v>
      </c>
      <c r="D43" t="s">
        <v>1</v>
      </c>
      <c r="E43" t="s">
        <v>1</v>
      </c>
      <c r="F43">
        <v>4140942</v>
      </c>
      <c r="G43">
        <v>509564</v>
      </c>
      <c r="H43">
        <v>2226</v>
      </c>
    </row>
    <row r="44" spans="1:8" x14ac:dyDescent="0.25">
      <c r="A44" t="s">
        <v>49</v>
      </c>
      <c r="B44" t="s">
        <v>14</v>
      </c>
      <c r="C44" t="s">
        <v>1</v>
      </c>
      <c r="D44" t="s">
        <v>1</v>
      </c>
      <c r="E44" t="s">
        <v>1</v>
      </c>
      <c r="F44">
        <v>3334986</v>
      </c>
      <c r="G44">
        <v>32888</v>
      </c>
      <c r="H44">
        <v>1844</v>
      </c>
    </row>
    <row r="45" spans="1:8" x14ac:dyDescent="0.25">
      <c r="A45" t="s">
        <v>50</v>
      </c>
      <c r="B45" t="s">
        <v>14</v>
      </c>
      <c r="C45" t="s">
        <v>1</v>
      </c>
      <c r="D45" t="s">
        <v>1</v>
      </c>
      <c r="E45" t="s">
        <v>1</v>
      </c>
      <c r="F45">
        <v>3829078</v>
      </c>
      <c r="G45">
        <v>294343</v>
      </c>
      <c r="H45">
        <v>1870</v>
      </c>
    </row>
    <row r="46" spans="1:8" x14ac:dyDescent="0.25">
      <c r="A46" t="s">
        <v>51</v>
      </c>
      <c r="B46" t="s">
        <v>14</v>
      </c>
      <c r="C46" t="s">
        <v>1</v>
      </c>
      <c r="D46" t="s">
        <v>1</v>
      </c>
      <c r="E46" t="s">
        <v>1</v>
      </c>
      <c r="F46">
        <v>4456799</v>
      </c>
      <c r="G46">
        <v>154352</v>
      </c>
      <c r="H46">
        <v>0</v>
      </c>
    </row>
    <row r="47" spans="1:8" x14ac:dyDescent="0.25">
      <c r="A47" t="s">
        <v>52</v>
      </c>
      <c r="B47" t="s">
        <v>14</v>
      </c>
      <c r="C47" t="s">
        <v>1</v>
      </c>
      <c r="D47" t="s">
        <v>1</v>
      </c>
      <c r="E47" t="s">
        <v>1</v>
      </c>
      <c r="F47">
        <v>3537562</v>
      </c>
      <c r="G47">
        <v>207155</v>
      </c>
      <c r="H47">
        <v>434</v>
      </c>
    </row>
    <row r="48" spans="1:8" x14ac:dyDescent="0.25">
      <c r="A48" s="1" t="s">
        <v>20</v>
      </c>
      <c r="B48" s="1" t="s">
        <v>13</v>
      </c>
      <c r="C48" s="1" t="s">
        <v>1</v>
      </c>
      <c r="D48" s="1" t="s">
        <v>1</v>
      </c>
      <c r="E48" s="1" t="s">
        <v>1</v>
      </c>
      <c r="F48" s="1">
        <v>503979</v>
      </c>
      <c r="G48" s="1">
        <v>6133</v>
      </c>
      <c r="H48" s="1">
        <v>12063</v>
      </c>
    </row>
    <row r="49" spans="1:8" x14ac:dyDescent="0.25">
      <c r="A49" t="s">
        <v>25</v>
      </c>
      <c r="B49" t="s">
        <v>2</v>
      </c>
      <c r="C49" t="s">
        <v>1</v>
      </c>
      <c r="D49" t="s">
        <v>1</v>
      </c>
      <c r="E49" t="s">
        <v>1</v>
      </c>
      <c r="F49">
        <v>13357</v>
      </c>
      <c r="G49">
        <v>133</v>
      </c>
      <c r="H49">
        <v>131</v>
      </c>
    </row>
    <row r="50" spans="1:8" x14ac:dyDescent="0.25">
      <c r="A50" t="s">
        <v>53</v>
      </c>
      <c r="B50" t="s">
        <v>14</v>
      </c>
      <c r="C50" t="s">
        <v>1</v>
      </c>
      <c r="D50" t="s">
        <v>1</v>
      </c>
      <c r="E50" t="s">
        <v>1</v>
      </c>
      <c r="F50">
        <v>5988484</v>
      </c>
      <c r="G50">
        <v>169995</v>
      </c>
      <c r="H50">
        <v>444</v>
      </c>
    </row>
    <row r="51" spans="1:8" x14ac:dyDescent="0.25">
      <c r="A51" t="s">
        <v>54</v>
      </c>
      <c r="B51" t="s">
        <v>14</v>
      </c>
      <c r="C51" t="s">
        <v>1</v>
      </c>
      <c r="D51" t="s">
        <v>1</v>
      </c>
      <c r="E51" t="s">
        <v>1</v>
      </c>
      <c r="F51">
        <v>4893123</v>
      </c>
      <c r="G51">
        <v>622160</v>
      </c>
      <c r="H51">
        <v>706</v>
      </c>
    </row>
    <row r="52" spans="1:8" x14ac:dyDescent="0.25">
      <c r="A52" t="s">
        <v>55</v>
      </c>
      <c r="B52" t="s">
        <v>14</v>
      </c>
      <c r="C52" t="s">
        <v>1</v>
      </c>
      <c r="D52" t="s">
        <v>1</v>
      </c>
      <c r="E52" t="s">
        <v>1</v>
      </c>
      <c r="F52">
        <v>3821746</v>
      </c>
      <c r="G52">
        <v>80194</v>
      </c>
      <c r="H52">
        <v>1319</v>
      </c>
    </row>
    <row r="53" spans="1:8" x14ac:dyDescent="0.25">
      <c r="A53" t="s">
        <v>56</v>
      </c>
      <c r="B53" t="s">
        <v>14</v>
      </c>
      <c r="C53" t="s">
        <v>1</v>
      </c>
      <c r="D53" t="s">
        <v>1</v>
      </c>
      <c r="E53" t="s">
        <v>1</v>
      </c>
      <c r="F53">
        <v>3542223</v>
      </c>
      <c r="G53">
        <v>336471</v>
      </c>
      <c r="H53">
        <v>1622</v>
      </c>
    </row>
    <row r="54" spans="1:8" x14ac:dyDescent="0.25">
      <c r="A54" t="s">
        <v>57</v>
      </c>
      <c r="B54" t="s">
        <v>14</v>
      </c>
      <c r="C54" t="s">
        <v>1</v>
      </c>
      <c r="D54" t="s">
        <v>1</v>
      </c>
      <c r="E54" t="s">
        <v>1</v>
      </c>
      <c r="F54">
        <v>4189660</v>
      </c>
      <c r="G54">
        <v>19092</v>
      </c>
      <c r="H54">
        <v>408</v>
      </c>
    </row>
    <row r="55" spans="1:8" x14ac:dyDescent="0.25">
      <c r="A55" t="s">
        <v>58</v>
      </c>
      <c r="B55" t="s">
        <v>14</v>
      </c>
      <c r="C55" t="s">
        <v>1</v>
      </c>
      <c r="D55" t="s">
        <v>1</v>
      </c>
      <c r="E55" t="s">
        <v>1</v>
      </c>
      <c r="F55">
        <v>3352544</v>
      </c>
      <c r="G55">
        <v>364494</v>
      </c>
      <c r="H55">
        <v>473</v>
      </c>
    </row>
    <row r="56" spans="1:8" x14ac:dyDescent="0.25">
      <c r="A56" t="s">
        <v>59</v>
      </c>
      <c r="B56" t="s">
        <v>14</v>
      </c>
      <c r="C56" t="s">
        <v>1</v>
      </c>
      <c r="D56" t="s">
        <v>1</v>
      </c>
      <c r="E56" t="s">
        <v>1</v>
      </c>
      <c r="F56">
        <v>4564092</v>
      </c>
      <c r="G56">
        <v>166424</v>
      </c>
      <c r="H56">
        <v>708</v>
      </c>
    </row>
    <row r="57" spans="1:8" x14ac:dyDescent="0.25">
      <c r="A57" t="s">
        <v>60</v>
      </c>
      <c r="B57" t="s">
        <v>14</v>
      </c>
      <c r="C57" t="s">
        <v>1</v>
      </c>
      <c r="D57" t="s">
        <v>1</v>
      </c>
      <c r="E57" t="s">
        <v>1</v>
      </c>
      <c r="F57">
        <v>3895113</v>
      </c>
      <c r="G57">
        <v>1001112</v>
      </c>
      <c r="H57">
        <v>557</v>
      </c>
    </row>
    <row r="58" spans="1:8" x14ac:dyDescent="0.25">
      <c r="A58" t="s">
        <v>61</v>
      </c>
      <c r="B58" t="s">
        <v>14</v>
      </c>
      <c r="C58" t="s">
        <v>1</v>
      </c>
      <c r="D58" t="s">
        <v>1</v>
      </c>
      <c r="E58" t="s">
        <v>1</v>
      </c>
      <c r="F58">
        <v>3670414</v>
      </c>
      <c r="G58">
        <v>971818</v>
      </c>
      <c r="H58">
        <v>1310</v>
      </c>
    </row>
    <row r="59" spans="1:8" x14ac:dyDescent="0.25">
      <c r="A59" t="s">
        <v>62</v>
      </c>
      <c r="B59" t="s">
        <v>14</v>
      </c>
      <c r="C59" t="s">
        <v>1</v>
      </c>
      <c r="D59" t="s">
        <v>1</v>
      </c>
      <c r="E59" t="s">
        <v>1</v>
      </c>
      <c r="F59">
        <v>4489660</v>
      </c>
      <c r="G59">
        <v>2457605</v>
      </c>
      <c r="H59">
        <v>1015</v>
      </c>
    </row>
    <row r="60" spans="1:8" s="1" customFormat="1" x14ac:dyDescent="0.25">
      <c r="A60" s="1" t="s">
        <v>21</v>
      </c>
      <c r="B60" s="1" t="s">
        <v>13</v>
      </c>
      <c r="C60" s="1" t="s">
        <v>1</v>
      </c>
      <c r="D60" s="1" t="s">
        <v>1</v>
      </c>
      <c r="E60" s="1" t="s">
        <v>1</v>
      </c>
      <c r="F60" s="1">
        <v>576218</v>
      </c>
      <c r="G60" s="1">
        <v>10529</v>
      </c>
      <c r="H60" s="1">
        <v>13100</v>
      </c>
    </row>
    <row r="61" spans="1:8" x14ac:dyDescent="0.25">
      <c r="A61" t="s">
        <v>22</v>
      </c>
      <c r="B61" t="s">
        <v>2</v>
      </c>
      <c r="C61" t="s">
        <v>1</v>
      </c>
      <c r="D61" t="s">
        <v>1</v>
      </c>
      <c r="E61" t="s">
        <v>1</v>
      </c>
      <c r="F61">
        <v>13150</v>
      </c>
      <c r="G61">
        <v>408</v>
      </c>
      <c r="H61">
        <v>0</v>
      </c>
    </row>
    <row r="62" spans="1:8" x14ac:dyDescent="0.25">
      <c r="A62" t="s">
        <v>63</v>
      </c>
      <c r="B62" t="s">
        <v>14</v>
      </c>
      <c r="C62" t="s">
        <v>1</v>
      </c>
      <c r="D62" t="s">
        <v>1</v>
      </c>
      <c r="E62" t="s">
        <v>1</v>
      </c>
      <c r="F62">
        <v>3851174</v>
      </c>
      <c r="G62">
        <v>20928</v>
      </c>
      <c r="H62">
        <v>638</v>
      </c>
    </row>
    <row r="63" spans="1:8" x14ac:dyDescent="0.25">
      <c r="A63" t="s">
        <v>64</v>
      </c>
      <c r="B63" t="s">
        <v>14</v>
      </c>
      <c r="C63" t="s">
        <v>1</v>
      </c>
      <c r="D63" t="s">
        <v>1</v>
      </c>
      <c r="E63" t="s">
        <v>1</v>
      </c>
      <c r="F63">
        <v>3573817</v>
      </c>
      <c r="G63">
        <v>718416</v>
      </c>
      <c r="H63">
        <v>505</v>
      </c>
    </row>
    <row r="64" spans="1:8" x14ac:dyDescent="0.25">
      <c r="A64" t="s">
        <v>65</v>
      </c>
      <c r="B64" t="s">
        <v>14</v>
      </c>
      <c r="C64" t="s">
        <v>1</v>
      </c>
      <c r="D64" t="s">
        <v>1</v>
      </c>
      <c r="E64" t="s">
        <v>1</v>
      </c>
      <c r="F64">
        <v>4299866</v>
      </c>
      <c r="G64">
        <v>343343</v>
      </c>
      <c r="H64">
        <v>0</v>
      </c>
    </row>
    <row r="65" spans="1:8" x14ac:dyDescent="0.25">
      <c r="A65" t="s">
        <v>66</v>
      </c>
      <c r="B65" t="s">
        <v>14</v>
      </c>
      <c r="C65" t="s">
        <v>1</v>
      </c>
      <c r="D65" t="s">
        <v>1</v>
      </c>
      <c r="E65" t="s">
        <v>1</v>
      </c>
      <c r="F65">
        <v>4141734</v>
      </c>
      <c r="G65">
        <v>2033705</v>
      </c>
      <c r="H65">
        <v>575</v>
      </c>
    </row>
    <row r="66" spans="1:8" x14ac:dyDescent="0.25">
      <c r="A66" t="s">
        <v>67</v>
      </c>
      <c r="B66" t="s">
        <v>14</v>
      </c>
      <c r="C66" t="s">
        <v>1</v>
      </c>
      <c r="D66" t="s">
        <v>1</v>
      </c>
      <c r="E66" t="s">
        <v>1</v>
      </c>
      <c r="F66">
        <v>2884877</v>
      </c>
      <c r="G66">
        <v>98681</v>
      </c>
      <c r="H66">
        <v>565</v>
      </c>
    </row>
    <row r="67" spans="1:8" x14ac:dyDescent="0.25">
      <c r="A67" t="s">
        <v>68</v>
      </c>
      <c r="B67" t="s">
        <v>14</v>
      </c>
      <c r="C67" t="s">
        <v>1</v>
      </c>
      <c r="D67" t="s">
        <v>1</v>
      </c>
      <c r="E67" t="s">
        <v>1</v>
      </c>
      <c r="F67">
        <v>3265740</v>
      </c>
      <c r="G67">
        <v>1159492</v>
      </c>
      <c r="H67">
        <v>344</v>
      </c>
    </row>
    <row r="68" spans="1:8" x14ac:dyDescent="0.25">
      <c r="A68" t="s">
        <v>69</v>
      </c>
      <c r="B68" t="s">
        <v>14</v>
      </c>
      <c r="C68" t="s">
        <v>1</v>
      </c>
      <c r="D68" t="s">
        <v>1</v>
      </c>
      <c r="E68" t="s">
        <v>1</v>
      </c>
      <c r="F68">
        <v>4167055</v>
      </c>
      <c r="G68">
        <v>201819</v>
      </c>
      <c r="H68">
        <v>281</v>
      </c>
    </row>
    <row r="69" spans="1:8" x14ac:dyDescent="0.25">
      <c r="A69" t="s">
        <v>70</v>
      </c>
      <c r="B69" t="s">
        <v>14</v>
      </c>
      <c r="C69" t="s">
        <v>1</v>
      </c>
      <c r="D69" t="s">
        <v>1</v>
      </c>
      <c r="E69" t="s">
        <v>1</v>
      </c>
      <c r="F69">
        <v>5000550</v>
      </c>
      <c r="G69">
        <v>5385477</v>
      </c>
      <c r="H69">
        <v>559</v>
      </c>
    </row>
    <row r="70" spans="1:8" x14ac:dyDescent="0.25">
      <c r="A70" t="s">
        <v>86</v>
      </c>
      <c r="B70" t="s">
        <v>14</v>
      </c>
      <c r="C70" t="s">
        <v>1</v>
      </c>
      <c r="D70" t="s">
        <v>1</v>
      </c>
      <c r="E70" t="s">
        <v>1</v>
      </c>
      <c r="F70">
        <v>4187651</v>
      </c>
      <c r="G70">
        <v>4299909</v>
      </c>
      <c r="H70">
        <v>500</v>
      </c>
    </row>
    <row r="71" spans="1:8" x14ac:dyDescent="0.25">
      <c r="A71" s="1" t="s">
        <v>23</v>
      </c>
      <c r="B71" s="1" t="s">
        <v>14</v>
      </c>
      <c r="C71" s="1" t="s">
        <v>1</v>
      </c>
      <c r="D71" s="1" t="s">
        <v>1</v>
      </c>
      <c r="E71" s="1" t="s">
        <v>1</v>
      </c>
      <c r="F71" s="1">
        <v>374468</v>
      </c>
      <c r="G71" s="1">
        <v>13943</v>
      </c>
      <c r="H71" s="1">
        <v>18743</v>
      </c>
    </row>
    <row r="72" spans="1:8" x14ac:dyDescent="0.25">
      <c r="A72" t="s">
        <v>24</v>
      </c>
      <c r="B72" t="s">
        <v>2</v>
      </c>
      <c r="C72" t="s">
        <v>1</v>
      </c>
      <c r="D72" t="s">
        <v>1</v>
      </c>
      <c r="E72" t="s">
        <v>1</v>
      </c>
      <c r="F72">
        <v>11426</v>
      </c>
      <c r="G72">
        <v>606</v>
      </c>
      <c r="H72">
        <v>0</v>
      </c>
    </row>
    <row r="73" spans="1:8" x14ac:dyDescent="0.25">
      <c r="A73" t="s">
        <v>26</v>
      </c>
      <c r="B73" t="s">
        <v>2</v>
      </c>
      <c r="C73" t="s">
        <v>1</v>
      </c>
      <c r="D73" t="s">
        <v>1</v>
      </c>
      <c r="E73" t="s">
        <v>1</v>
      </c>
      <c r="F73">
        <v>6527</v>
      </c>
      <c r="G73">
        <v>160</v>
      </c>
      <c r="H73">
        <v>0</v>
      </c>
    </row>
  </sheetData>
  <phoneticPr fontId="1" type="noConversion"/>
  <conditionalFormatting sqref="F1:F1048576">
    <cfRule type="cellIs" dxfId="2" priority="5" operator="greaterThan">
      <formula>$F$17</formula>
    </cfRule>
  </conditionalFormatting>
  <conditionalFormatting sqref="F56 G1:G1048576">
    <cfRule type="cellIs" dxfId="1" priority="3" operator="greaterThan">
      <formula>$G$21</formula>
    </cfRule>
  </conditionalFormatting>
  <conditionalFormatting sqref="G56 I1 H1:H1048576">
    <cfRule type="cellIs" dxfId="0" priority="2" operator="greaterThan">
      <formula>$H$17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Blakley, Brenden, D</cp:lastModifiedBy>
  <dcterms:created xsi:type="dcterms:W3CDTF">2026-04-17T13:14:56Z</dcterms:created>
  <dcterms:modified xsi:type="dcterms:W3CDTF">2026-05-13T20:05:54Z</dcterms:modified>
</cp:coreProperties>
</file>