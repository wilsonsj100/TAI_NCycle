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adzuGC-2030\Documents\ShimadzuGC_Spreadsheets\STEEP\"/>
    </mc:Choice>
  </mc:AlternateContent>
  <xr:revisionPtr revIDLastSave="0" documentId="13_ncr:1_{762B7D79-E5B4-418E-A915-51CD4AE4B19D}" xr6:coauthVersionLast="47" xr6:coauthVersionMax="47" xr10:uidLastSave="{00000000-0000-0000-0000-000000000000}"/>
  <bookViews>
    <workbookView xWindow="810" yWindow="1785" windowWidth="18390" windowHeight="13575" xr2:uid="{BD91B5F2-2EE8-4BB9-9259-82C885726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E13" i="1"/>
  <c r="D13" i="1"/>
  <c r="C13" i="1"/>
  <c r="E12" i="1"/>
  <c r="D12" i="1"/>
  <c r="C12" i="1"/>
  <c r="E11" i="1"/>
  <c r="D11" i="1"/>
  <c r="C11" i="1"/>
  <c r="J75" i="1"/>
  <c r="J74" i="1"/>
  <c r="J58" i="1"/>
  <c r="J59" i="1"/>
  <c r="J62" i="1"/>
  <c r="J63" i="1"/>
  <c r="J64" i="1"/>
  <c r="J65" i="1"/>
  <c r="J66" i="1"/>
  <c r="J67" i="1"/>
  <c r="J68" i="1"/>
  <c r="J69" i="1"/>
  <c r="J70" i="1"/>
  <c r="J71" i="1"/>
  <c r="J51" i="1"/>
  <c r="J52" i="1"/>
  <c r="J53" i="1"/>
  <c r="J54" i="1"/>
  <c r="J55" i="1"/>
  <c r="J56" i="1"/>
  <c r="J57" i="1"/>
  <c r="J50" i="1"/>
  <c r="J42" i="1"/>
  <c r="J43" i="1"/>
  <c r="J44" i="1"/>
  <c r="J45" i="1"/>
  <c r="J46" i="1"/>
  <c r="J47" i="1"/>
  <c r="J38" i="1"/>
  <c r="J39" i="1"/>
  <c r="J40" i="1"/>
  <c r="J41" i="1"/>
  <c r="J33" i="1"/>
  <c r="J34" i="1"/>
  <c r="J35" i="1"/>
  <c r="J32" i="1"/>
  <c r="J27" i="1"/>
  <c r="J28" i="1"/>
  <c r="J29" i="1"/>
  <c r="J30" i="1"/>
  <c r="J31" i="1"/>
  <c r="J26" i="1"/>
  <c r="E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<sst xmlns="http://schemas.openxmlformats.org/spreadsheetml/2006/main" count="347" uniqueCount="96">
  <si>
    <t>Sample ID</t>
  </si>
  <si>
    <t>Type</t>
  </si>
  <si>
    <t>Conc_CO2</t>
  </si>
  <si>
    <t>Conc_CH4</t>
  </si>
  <si>
    <t>Conc_N2O</t>
  </si>
  <si>
    <t>LabAir</t>
  </si>
  <si>
    <t>Lab air</t>
  </si>
  <si>
    <t>unknown</t>
  </si>
  <si>
    <t>Blank1</t>
  </si>
  <si>
    <t>Blank</t>
  </si>
  <si>
    <t>Blank2</t>
  </si>
  <si>
    <t>Blank3</t>
  </si>
  <si>
    <t>CO2_Area</t>
  </si>
  <si>
    <t>CH4_Area</t>
  </si>
  <si>
    <t>N2O_Area</t>
  </si>
  <si>
    <t>Standard</t>
  </si>
  <si>
    <t>Blank5</t>
  </si>
  <si>
    <t>Blank6</t>
  </si>
  <si>
    <t>ChkStd_12mLLowTri2</t>
  </si>
  <si>
    <t>ChkStd</t>
  </si>
  <si>
    <t>ChkStd_12mLLowTri1</t>
  </si>
  <si>
    <t>Blank7</t>
  </si>
  <si>
    <t>Sample</t>
  </si>
  <si>
    <t>Blank8</t>
  </si>
  <si>
    <t>ChkStd_12mLLowTri3</t>
  </si>
  <si>
    <t>Blank9</t>
  </si>
  <si>
    <t>Notes</t>
  </si>
  <si>
    <t>Blank10</t>
  </si>
  <si>
    <t>ChkStd_12mLLowTri4</t>
  </si>
  <si>
    <t>ChkStd_12mLLowTri5</t>
  </si>
  <si>
    <t>ChkStd_12mLLowTri6</t>
  </si>
  <si>
    <t>Blank11</t>
  </si>
  <si>
    <t>Blank4</t>
  </si>
  <si>
    <t>20260511_0ppm</t>
  </si>
  <si>
    <t>20260511_3mlLowTri</t>
  </si>
  <si>
    <t>20260511_6mlLowTri</t>
  </si>
  <si>
    <t>20260511_9mlLowTri</t>
  </si>
  <si>
    <t>20260511_12mlLowTri</t>
  </si>
  <si>
    <t>20260511_3mlMidTri</t>
  </si>
  <si>
    <t>20260511_9mlLowTri_2</t>
  </si>
  <si>
    <t>20260511_6mlMidTri</t>
  </si>
  <si>
    <t>20260511_9mlMidTri</t>
  </si>
  <si>
    <t>20260511_12mlMidTri</t>
  </si>
  <si>
    <t>20260511_3mlHighTri</t>
  </si>
  <si>
    <t>20260511_6mlHighTri</t>
  </si>
  <si>
    <t>20260511_9mlHighTri</t>
  </si>
  <si>
    <t>20260511_12mlHighTri</t>
  </si>
  <si>
    <t>20260511_12mlLowTri_2</t>
  </si>
  <si>
    <t>20260511_6mlLowTri_2</t>
  </si>
  <si>
    <t>20260511_3mlLowTri_2</t>
  </si>
  <si>
    <t>N2O curve was weird reran</t>
  </si>
  <si>
    <t>MSM_TR_A_T0</t>
  </si>
  <si>
    <t>MSM_TR_A_T1</t>
  </si>
  <si>
    <t>MSM_TR_A_T2</t>
  </si>
  <si>
    <t>MSM_TR_A_T3</t>
  </si>
  <si>
    <t>MSM_TR_A_T4</t>
  </si>
  <si>
    <t>MSM_TR_A_T5</t>
  </si>
  <si>
    <t>MSM_TR_A_T6</t>
  </si>
  <si>
    <t>MSM_TR_B_T0</t>
  </si>
  <si>
    <t>MSM_TR_B_T1</t>
  </si>
  <si>
    <t>MSM_TR_B_T2</t>
  </si>
  <si>
    <t>MSM_TR_B_T3</t>
  </si>
  <si>
    <t>MSM_TR_B_T4</t>
  </si>
  <si>
    <t>MSM_TR_B_T5</t>
  </si>
  <si>
    <t>MSM_TR_B_T6</t>
  </si>
  <si>
    <t>MSM_TR_C_T0</t>
  </si>
  <si>
    <t>MSM_TR_C_T1</t>
  </si>
  <si>
    <t>MSM_TR_C_T2</t>
  </si>
  <si>
    <t>MSM_TR_C_T3</t>
  </si>
  <si>
    <t>MSM_TR_C_T4</t>
  </si>
  <si>
    <t>MSM_TR_C_T5</t>
  </si>
  <si>
    <t>MSM_TR_C_T6</t>
  </si>
  <si>
    <t>MSM_WC_A_T0</t>
  </si>
  <si>
    <t>MSM_WC_A_T1</t>
  </si>
  <si>
    <t>MSM_WC_A_T2</t>
  </si>
  <si>
    <t>MSM_WC_A_T3</t>
  </si>
  <si>
    <t>MSM_WC_A_T4</t>
  </si>
  <si>
    <t>MSM_WC_A_T5</t>
  </si>
  <si>
    <t>MSM_WC_A_T6</t>
  </si>
  <si>
    <t>MSM_WC_B_T0</t>
  </si>
  <si>
    <t>MSM_WC_B_T1</t>
  </si>
  <si>
    <t>MSM_WC_B_T2</t>
  </si>
  <si>
    <t>MSM_WC_B_T3</t>
  </si>
  <si>
    <t>MSM_WC_B_T4</t>
  </si>
  <si>
    <t>MSM_WC_B_T5</t>
  </si>
  <si>
    <t>MSM_WC_B_T6</t>
  </si>
  <si>
    <t>MSM_WC_C_T0</t>
  </si>
  <si>
    <t>MSM_WC_C_T1</t>
  </si>
  <si>
    <t>MSM_WC_C_T2</t>
  </si>
  <si>
    <t>MSM_WC_C_T3</t>
  </si>
  <si>
    <t>MSM_WC_C_T4</t>
  </si>
  <si>
    <t>MSM_WC_C_T5</t>
  </si>
  <si>
    <t>MSM_WC_C_T6</t>
  </si>
  <si>
    <t>sample name 20260511_MSM_WC_B_T2</t>
  </si>
  <si>
    <t>used high syringe for check stds on accident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</si>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</sst>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Sheet1!$D$5:$D$21</c:f>
              <c:numCache>
                <c:formatCode>General</c:formatCode>
                <c:ptCount val="17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2.5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50</c:v>
                </c:pt>
                <c:pt idx="11">
                  <c:v>75</c:v>
                </c:pt>
                <c:pt idx="12">
                  <c:v>100</c:v>
                </c:pt>
                <c:pt idx="13">
                  <c:v>251.5</c:v>
                </c:pt>
                <c:pt idx="14">
                  <c:v>503</c:v>
                </c:pt>
                <c:pt idx="15">
                  <c:v>754.5</c:v>
                </c:pt>
                <c:pt idx="16">
                  <c:v>1006</c:v>
                </c:pt>
              </c:numCache>
            </c:numRef>
          </c:xVal>
          <c:yVal>
            <c:numRef>
              <c:f>Sheet1!$G$5:$G$21</c:f>
              <c:numCache>
                <c:formatCode>General</c:formatCode>
                <c:ptCount val="17"/>
                <c:pt idx="0">
                  <c:v>164</c:v>
                </c:pt>
                <c:pt idx="1">
                  <c:v>1857</c:v>
                </c:pt>
                <c:pt idx="2">
                  <c:v>3161</c:v>
                </c:pt>
                <c:pt idx="3">
                  <c:v>4718</c:v>
                </c:pt>
                <c:pt idx="4">
                  <c:v>6262</c:v>
                </c:pt>
                <c:pt idx="5">
                  <c:v>16101</c:v>
                </c:pt>
                <c:pt idx="6">
                  <c:v>2014</c:v>
                </c:pt>
                <c:pt idx="7">
                  <c:v>3199</c:v>
                </c:pt>
                <c:pt idx="8">
                  <c:v>4843</c:v>
                </c:pt>
                <c:pt idx="9">
                  <c:v>6183</c:v>
                </c:pt>
                <c:pt idx="10">
                  <c:v>29393</c:v>
                </c:pt>
                <c:pt idx="11">
                  <c:v>45042</c:v>
                </c:pt>
                <c:pt idx="12">
                  <c:v>61780</c:v>
                </c:pt>
                <c:pt idx="13">
                  <c:v>164367</c:v>
                </c:pt>
                <c:pt idx="14">
                  <c:v>308876</c:v>
                </c:pt>
                <c:pt idx="15">
                  <c:v>467325</c:v>
                </c:pt>
                <c:pt idx="16">
                  <c:v>613116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638-AD9B-7465033A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Sheet1!$E$5:$E$19</c:f>
              <c:numCache>
                <c:formatCode>General</c:formatCode>
                <c:ptCount val="1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1.25</c:v>
                </c:pt>
                <c:pt idx="7">
                  <c:v>2.5</c:v>
                </c:pt>
                <c:pt idx="8">
                  <c:v>3.75</c:v>
                </c:pt>
                <c:pt idx="9">
                  <c:v>5</c:v>
                </c:pt>
                <c:pt idx="10">
                  <c:v>25.1</c:v>
                </c:pt>
                <c:pt idx="11">
                  <c:v>37.650000000000006</c:v>
                </c:pt>
                <c:pt idx="12">
                  <c:v>50.2</c:v>
                </c:pt>
                <c:pt idx="13">
                  <c:v>125</c:v>
                </c:pt>
                <c:pt idx="14">
                  <c:v>250</c:v>
                </c:pt>
              </c:numCache>
            </c:numRef>
          </c:xVal>
          <c:yVal>
            <c:numRef>
              <c:f>Sheet1!$H$5:$H$19</c:f>
              <c:numCache>
                <c:formatCode>General</c:formatCode>
                <c:ptCount val="15"/>
                <c:pt idx="0">
                  <c:v>0</c:v>
                </c:pt>
                <c:pt idx="5">
                  <c:v>35647</c:v>
                </c:pt>
                <c:pt idx="6">
                  <c:v>4914</c:v>
                </c:pt>
                <c:pt idx="7">
                  <c:v>7739</c:v>
                </c:pt>
                <c:pt idx="8">
                  <c:v>11381</c:v>
                </c:pt>
                <c:pt idx="9">
                  <c:v>14933</c:v>
                </c:pt>
                <c:pt idx="10">
                  <c:v>62363</c:v>
                </c:pt>
                <c:pt idx="11">
                  <c:v>90726</c:v>
                </c:pt>
                <c:pt idx="12">
                  <c:v>119517</c:v>
                </c:pt>
                <c:pt idx="13">
                  <c:v>261960</c:v>
                </c:pt>
                <c:pt idx="14">
                  <c:v>468791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451-9524-05D51C11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Sheet1!$C$5:$C$21</c:f>
              <c:numCache>
                <c:formatCode>General</c:formatCode>
                <c:ptCount val="1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500</c:v>
                </c:pt>
                <c:pt idx="7">
                  <c:v>1000</c:v>
                </c:pt>
                <c:pt idx="8">
                  <c:v>1500</c:v>
                </c:pt>
                <c:pt idx="9">
                  <c:v>2000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12525</c:v>
                </c:pt>
                <c:pt idx="14">
                  <c:v>25050</c:v>
                </c:pt>
                <c:pt idx="15">
                  <c:v>37575</c:v>
                </c:pt>
                <c:pt idx="16">
                  <c:v>50100</c:v>
                </c:pt>
              </c:numCache>
            </c:numRef>
          </c:xVal>
          <c:yVal>
            <c:numRef>
              <c:f>Sheet1!$F$5:$F$21</c:f>
              <c:numCache>
                <c:formatCode>General</c:formatCode>
                <c:ptCount val="17"/>
                <c:pt idx="0">
                  <c:v>7954</c:v>
                </c:pt>
                <c:pt idx="1">
                  <c:v>216288</c:v>
                </c:pt>
                <c:pt idx="2">
                  <c:v>393005</c:v>
                </c:pt>
                <c:pt idx="3">
                  <c:v>575737</c:v>
                </c:pt>
                <c:pt idx="4">
                  <c:v>763426</c:v>
                </c:pt>
                <c:pt idx="5">
                  <c:v>1866454</c:v>
                </c:pt>
                <c:pt idx="6">
                  <c:v>246999</c:v>
                </c:pt>
                <c:pt idx="7">
                  <c:v>387481</c:v>
                </c:pt>
                <c:pt idx="8">
                  <c:v>578604</c:v>
                </c:pt>
                <c:pt idx="9">
                  <c:v>745454</c:v>
                </c:pt>
                <c:pt idx="10">
                  <c:v>3261712</c:v>
                </c:pt>
                <c:pt idx="11">
                  <c:v>4800015</c:v>
                </c:pt>
                <c:pt idx="12">
                  <c:v>6332145</c:v>
                </c:pt>
                <c:pt idx="13">
                  <c:v>4481870</c:v>
                </c:pt>
                <c:pt idx="14">
                  <c:v>7731876</c:v>
                </c:pt>
                <c:pt idx="15">
                  <c:v>10909833</c:v>
                </c:pt>
                <c:pt idx="16">
                  <c:v>13701634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1-46B4-B51D-D1802EBF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MSM_TR_A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Sheet1!$I$26:$I$32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Sheet1!$J$26:$J$32</c:f>
              <c:numCache>
                <c:formatCode>General</c:formatCode>
                <c:ptCount val="7"/>
                <c:pt idx="0">
                  <c:v>8698</c:v>
                </c:pt>
                <c:pt idx="1">
                  <c:v>7798</c:v>
                </c:pt>
                <c:pt idx="2">
                  <c:v>16141</c:v>
                </c:pt>
                <c:pt idx="3">
                  <c:v>12537</c:v>
                </c:pt>
                <c:pt idx="4">
                  <c:v>7766</c:v>
                </c:pt>
                <c:pt idx="5">
                  <c:v>13307</c:v>
                </c:pt>
                <c:pt idx="6">
                  <c:v>11668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4-483E-BB2F-AAF9A383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99967"/>
        <c:axId val="1160200447"/>
      </c:scatterChart>
      <c:valAx>
        <c:axId val="11601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0447"/>
        <c:crosses val="autoZero"/>
        <c:crossBetween val="midCat"/>
      </c:valAx>
      <c:valAx>
        <c:axId val="1160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MSM_TR_B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(Sheet1!$I$33:$I$35,Sheet1!$I$38:$I$41)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(Sheet1!$J$33:$J$35,Sheet1!$J$38:$J$41)</c:f>
              <c:numCache>
                <c:formatCode>General</c:formatCode>
                <c:ptCount val="7"/>
                <c:pt idx="0">
                  <c:v>11668</c:v>
                </c:pt>
                <c:pt idx="1">
                  <c:v>45464</c:v>
                </c:pt>
                <c:pt idx="2">
                  <c:v>8875</c:v>
                </c:pt>
                <c:pt idx="3">
                  <c:v>12875</c:v>
                </c:pt>
                <c:pt idx="4">
                  <c:v>5886</c:v>
                </c:pt>
                <c:pt idx="5">
                  <c:v>10142</c:v>
                </c:pt>
                <c:pt idx="6">
                  <c:v>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D9C-A2BB-DD5650FB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13167"/>
        <c:axId val="1628115087"/>
      </c:scatterChart>
      <c:valAx>
        <c:axId val="16281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5087"/>
        <c:crosses val="autoZero"/>
        <c:crossBetween val="midCat"/>
      </c:valAx>
      <c:valAx>
        <c:axId val="16281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MSM_TR_C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(Sheet1!$I$42:$I$47,Sheet1!$I$50)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(Sheet1!$J$42:$J$47,Sheet1!$J$50)</c:f>
              <c:numCache>
                <c:formatCode>General</c:formatCode>
                <c:ptCount val="7"/>
                <c:pt idx="0">
                  <c:v>16601</c:v>
                </c:pt>
                <c:pt idx="1">
                  <c:v>18986</c:v>
                </c:pt>
                <c:pt idx="2">
                  <c:v>11322</c:v>
                </c:pt>
                <c:pt idx="3">
                  <c:v>5857</c:v>
                </c:pt>
                <c:pt idx="4">
                  <c:v>16306</c:v>
                </c:pt>
                <c:pt idx="5">
                  <c:v>19873</c:v>
                </c:pt>
                <c:pt idx="6">
                  <c:v>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6-4F04-BA97-8E6DA80A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885440"/>
        <c:axId val="918878720"/>
      </c:scatterChart>
      <c:valAx>
        <c:axId val="9188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8720"/>
        <c:crosses val="autoZero"/>
        <c:crossBetween val="midCat"/>
      </c:valAx>
      <c:valAx>
        <c:axId val="9188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8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MSM_WC_A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Sheet1!$I$51:$I$57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Sheet1!$J$51:$J$57</c:f>
              <c:numCache>
                <c:formatCode>General</c:formatCode>
                <c:ptCount val="7"/>
                <c:pt idx="0">
                  <c:v>3298</c:v>
                </c:pt>
                <c:pt idx="1">
                  <c:v>9211</c:v>
                </c:pt>
                <c:pt idx="2">
                  <c:v>14941</c:v>
                </c:pt>
                <c:pt idx="3">
                  <c:v>42937</c:v>
                </c:pt>
                <c:pt idx="4">
                  <c:v>15505</c:v>
                </c:pt>
                <c:pt idx="5">
                  <c:v>27864</c:v>
                </c:pt>
                <c:pt idx="6">
                  <c:v>24340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ABD-8307-43E4CAA4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47727"/>
        <c:axId val="1116848207"/>
      </c:scatterChart>
      <c:valAx>
        <c:axId val="11168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8207"/>
        <c:crosses val="autoZero"/>
        <c:crossBetween val="midCat"/>
      </c:valAx>
      <c:valAx>
        <c:axId val="11168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MSM_WC_B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(Sheet1!$I$58:$I$59,Sheet1!$I$62:$I$66)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(Sheet1!$J$58:$J$59,Sheet1!$J$62:$J$66)</c:f>
              <c:numCache>
                <c:formatCode>General</c:formatCode>
                <c:ptCount val="7"/>
                <c:pt idx="0">
                  <c:v>12379</c:v>
                </c:pt>
                <c:pt idx="1">
                  <c:v>25988</c:v>
                </c:pt>
                <c:pt idx="2">
                  <c:v>25767</c:v>
                </c:pt>
                <c:pt idx="3">
                  <c:v>17647</c:v>
                </c:pt>
                <c:pt idx="4">
                  <c:v>11738</c:v>
                </c:pt>
                <c:pt idx="5">
                  <c:v>6110</c:v>
                </c:pt>
                <c:pt idx="6">
                  <c:v>8411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8-44BF-991C-AE48B97F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00768"/>
        <c:axId val="878698848"/>
      </c:scatterChart>
      <c:valAx>
        <c:axId val="878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8848"/>
        <c:crosses val="autoZero"/>
        <c:crossBetween val="midCat"/>
      </c:valAx>
      <c:valAx>
        <c:axId val="878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MSM_WC_C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(Sheet1!$I$67:$I$71,Sheet1!$I$74:$I$75)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(Sheet1!$J$67:$J$71,Sheet1!$J$74:$J$75)</c:f>
              <c:numCache>
                <c:formatCode>General</c:formatCode>
                <c:ptCount val="7"/>
                <c:pt idx="0">
                  <c:v>13016</c:v>
                </c:pt>
                <c:pt idx="1">
                  <c:v>7744</c:v>
                </c:pt>
                <c:pt idx="2">
                  <c:v>13845</c:v>
                </c:pt>
                <c:pt idx="3">
                  <c:v>31281</c:v>
                </c:pt>
                <c:pt idx="4">
                  <c:v>19257</c:v>
                </c:pt>
                <c:pt idx="5">
                  <c:v>16581</c:v>
                </c:pt>
                <c:pt idx="6">
                  <c:v>9042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CA0-8948-8CE3CB2E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54592"/>
        <c:axId val="1622450351"/>
      </c:scatterChart>
      <c:valAx>
        <c:axId val="8912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50351"/>
        <c:crosses val="autoZero"/>
        <c:crossBetween val="midCat"/>
      </c:valAx>
      <c:valAx>
        <c:axId val="16224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</a:t>
            </a:r>
            <a:r>
              <a:rPr lang="en-US" baseline="0"/>
              <a:t>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(Sheet1!$E$5,Sheet1!$E$11:$E$14)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</c:numCache>
            </c:numRef>
          </c:xVal>
          <c:yVal>
            <c:numRef>
              <c:f>(Sheet1!$H$5,Sheet1!$H$11:$H$14)</c:f>
              <c:numCache>
                <c:formatCode>General</c:formatCode>
                <c:ptCount val="5"/>
                <c:pt idx="0">
                  <c:v>0</c:v>
                </c:pt>
                <c:pt idx="1">
                  <c:v>4914</c:v>
                </c:pt>
                <c:pt idx="2">
                  <c:v>7739</c:v>
                </c:pt>
                <c:pt idx="3">
                  <c:v>11381</c:v>
                </c:pt>
                <c:pt idx="4">
                  <c:v>14933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7-42C7-BEA0-C010E487E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230720"/>
        <c:axId val="1908230240"/>
      </c:scatterChart>
      <c:valAx>
        <c:axId val="19082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0240"/>
        <c:crosses val="autoZero"/>
        <c:crossBetween val="midCat"/>
      </c:valAx>
      <c:valAx>
        <c:axId val="19082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  <a:r>
              <a:rPr lang="en-US" baseline="0"/>
              <a:t>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(Sheet1!$D$5,Sheet1!$D$11:$D$14)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(Sheet1!$G$5,Sheet1!$G$11:$G$14)</c:f>
              <c:numCache>
                <c:formatCode>General</c:formatCode>
                <c:ptCount val="5"/>
                <c:pt idx="0">
                  <c:v>164</c:v>
                </c:pt>
                <c:pt idx="1">
                  <c:v>2014</c:v>
                </c:pt>
                <c:pt idx="2">
                  <c:v>3199</c:v>
                </c:pt>
                <c:pt idx="3">
                  <c:v>4843</c:v>
                </c:pt>
                <c:pt idx="4">
                  <c:v>6183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8-467D-A72B-31F77E95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192112"/>
        <c:axId val="1904194032"/>
      </c:scatterChart>
      <c:valAx>
        <c:axId val="19041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94032"/>
        <c:crosses val="autoZero"/>
        <c:crossBetween val="midCat"/>
      </c:valAx>
      <c:valAx>
        <c:axId val="19041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(Sheet1!$C$5,Sheet1!$C$11:$C$14)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(Sheet1!$F$5,Sheet1!$F$11:$F$14)</c:f>
              <c:numCache>
                <c:formatCode>General</c:formatCode>
                <c:ptCount val="5"/>
                <c:pt idx="0">
                  <c:v>7954</c:v>
                </c:pt>
                <c:pt idx="1">
                  <c:v>246999</c:v>
                </c:pt>
                <c:pt idx="2">
                  <c:v>387481</c:v>
                </c:pt>
                <c:pt idx="3">
                  <c:v>578604</c:v>
                </c:pt>
                <c:pt idx="4">
                  <c:v>745454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D-4C84-A6E9-91D5641E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136640"/>
        <c:axId val="1428138080"/>
      </c:scatterChart>
      <c:valAx>
        <c:axId val="142813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38080"/>
        <c:crosses val="autoZero"/>
        <c:crossBetween val="midCat"/>
      </c:valAx>
      <c:valAx>
        <c:axId val="142813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3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50801</xdr:colOff>
      <xdr:row>18</xdr:row>
      <xdr:rowOff>52387</xdr:rowOff>
    </xdr:from>
    <xdr:to>
      <xdr:col>18</xdr:col>
      <xdr:colOff>359834</xdr:colOff>
      <xdr:row>32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64D7A-7D9D-AA1E-57CA-46142C3B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291041</xdr:colOff>
      <xdr:row>1</xdr:row>
      <xdr:rowOff>86253</xdr:rowOff>
    </xdr:from>
    <xdr:to>
      <xdr:col>17</xdr:col>
      <xdr:colOff>595842</xdr:colOff>
      <xdr:row>17</xdr:row>
      <xdr:rowOff>162453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2B5C1-D089-D76C-4AE4-5A6DAE9E1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284162</xdr:colOff>
      <xdr:row>32</xdr:row>
      <xdr:rowOff>129646</xdr:rowOff>
    </xdr:from>
    <xdr:to>
      <xdr:col>18</xdr:col>
      <xdr:colOff>588962</xdr:colOff>
      <xdr:row>47</xdr:row>
      <xdr:rowOff>15346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831F5-A447-6E7F-C5F9-34767A60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35453</xdr:colOff>
      <xdr:row>46</xdr:row>
      <xdr:rowOff>128587</xdr:rowOff>
    </xdr:from>
    <xdr:to>
      <xdr:col>18</xdr:col>
      <xdr:colOff>344487</xdr:colOff>
      <xdr:row>61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6BDA35-507E-682A-A9D8-530B5E995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161925</xdr:colOff>
      <xdr:row>48</xdr:row>
      <xdr:rowOff>138112</xdr:rowOff>
    </xdr:from>
    <xdr:to>
      <xdr:col>25</xdr:col>
      <xdr:colOff>466725</xdr:colOff>
      <xdr:row>63</xdr:row>
      <xdr:rowOff>23812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1376B-D6AA-3CBD-542E-A0B705C0C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104776</xdr:colOff>
      <xdr:row>58</xdr:row>
      <xdr:rowOff>109537</xdr:rowOff>
    </xdr:from>
    <xdr:to>
      <xdr:col>18</xdr:col>
      <xdr:colOff>409576</xdr:colOff>
      <xdr:row>72</xdr:row>
      <xdr:rowOff>185737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D3D086-6276-1EA2-6641-EF7CF0B0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595312</xdr:colOff>
      <xdr:row>64</xdr:row>
      <xdr:rowOff>80962</xdr:rowOff>
    </xdr:from>
    <xdr:to>
      <xdr:col>26</xdr:col>
      <xdr:colOff>290512</xdr:colOff>
      <xdr:row>75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34C3AA-C2D0-A58D-9F9D-0A170851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118534</xdr:colOff>
      <xdr:row>70</xdr:row>
      <xdr:rowOff>137053</xdr:rowOff>
    </xdr:from>
    <xdr:to>
      <xdr:col>18</xdr:col>
      <xdr:colOff>423334</xdr:colOff>
      <xdr:row>77</xdr:row>
      <xdr:rowOff>22753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144DB-366A-2D12-33FA-28617886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128587</xdr:colOff>
      <xdr:row>75</xdr:row>
      <xdr:rowOff>0</xdr:rowOff>
    </xdr:from>
    <xdr:to>
      <xdr:col>17</xdr:col>
      <xdr:colOff>433387</xdr:colOff>
      <xdr:row>87</xdr:row>
      <xdr:rowOff>4762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494161-B67A-2D60-AFB9-3CFF6A3C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385762</xdr:colOff>
      <xdr:row>0</xdr:row>
      <xdr:rowOff>157162</xdr:rowOff>
    </xdr:from>
    <xdr:to>
      <xdr:col>24</xdr:col>
      <xdr:colOff>80962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A2826-A749-A658-5A14-8DC665E6E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138112</xdr:colOff>
      <xdr:row>16</xdr:row>
      <xdr:rowOff>128587</xdr:rowOff>
    </xdr:from>
    <xdr:to>
      <xdr:col>25</xdr:col>
      <xdr:colOff>442912</xdr:colOff>
      <xdr:row>31</xdr:row>
      <xdr:rowOff>14287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64EFB8-BC20-2E7E-6B14-24C7495B0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604837</xdr:colOff>
      <xdr:row>32</xdr:row>
      <xdr:rowOff>109537</xdr:rowOff>
    </xdr:from>
    <xdr:to>
      <xdr:col>25</xdr:col>
      <xdr:colOff>300037</xdr:colOff>
      <xdr:row>46</xdr:row>
      <xdr:rowOff>185737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DB302F4-08B6-AAB9-7272-9A0D4EB3D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CEB-4C0C-4C53-B885-309DBA36FC66}">
  <dimension ref="A1:AA78"/>
  <sheetViews>
    <sheetView tabSelected="1" topLeftCell="G58" zoomScale="90" zoomScaleNormal="90" zoomScalePageLayoutView="106" workbookViewId="0">
      <selection activeCell="U83" sqref="U83"/>
    </sheetView>
  </sheetViews>
  <sheetFormatPr defaultRowHeight="15" x14ac:dyDescent="0.25"/>
  <cols>
    <col min="1" max="1" width="20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K1" t="s">
        <v>26</v>
      </c>
      <c r="AA1">
        <v>0</v>
      </c>
    </row>
    <row r="2" spans="1:27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>
        <v>186020</v>
      </c>
      <c r="G2">
        <v>1293</v>
      </c>
      <c r="H2">
        <v>1129</v>
      </c>
    </row>
    <row r="3" spans="1:27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  <c r="F3">
        <v>7191</v>
      </c>
      <c r="G3">
        <v>149</v>
      </c>
      <c r="H3">
        <v>0</v>
      </c>
    </row>
    <row r="4" spans="1:27" x14ac:dyDescent="0.25">
      <c r="A4" t="s">
        <v>10</v>
      </c>
      <c r="B4" t="s">
        <v>9</v>
      </c>
      <c r="C4" t="s">
        <v>7</v>
      </c>
      <c r="D4" t="s">
        <v>7</v>
      </c>
      <c r="E4" t="s">
        <v>7</v>
      </c>
      <c r="F4">
        <v>9060</v>
      </c>
      <c r="G4">
        <v>131</v>
      </c>
      <c r="H4">
        <v>0</v>
      </c>
    </row>
    <row r="5" spans="1:27" x14ac:dyDescent="0.25">
      <c r="A5" t="s">
        <v>33</v>
      </c>
      <c r="B5" t="s">
        <v>15</v>
      </c>
      <c r="C5">
        <v>0</v>
      </c>
      <c r="D5">
        <v>0</v>
      </c>
      <c r="E5">
        <v>0</v>
      </c>
      <c r="F5">
        <v>7954</v>
      </c>
      <c r="G5">
        <v>164</v>
      </c>
      <c r="H5">
        <v>0</v>
      </c>
    </row>
    <row r="6" spans="1:27" x14ac:dyDescent="0.25">
      <c r="A6" t="s">
        <v>34</v>
      </c>
      <c r="B6" t="s">
        <v>15</v>
      </c>
      <c r="C6">
        <f>(3/12)*2000</f>
        <v>500</v>
      </c>
      <c r="D6">
        <f>(3/12)*10</f>
        <v>2.5</v>
      </c>
      <c r="E6">
        <f>(3/12)*5</f>
        <v>1.25</v>
      </c>
      <c r="F6">
        <v>216288</v>
      </c>
      <c r="G6">
        <v>1857</v>
      </c>
      <c r="K6" t="s">
        <v>50</v>
      </c>
    </row>
    <row r="7" spans="1:27" x14ac:dyDescent="0.25">
      <c r="A7" t="s">
        <v>35</v>
      </c>
      <c r="B7" t="s">
        <v>15</v>
      </c>
      <c r="C7">
        <f>(6/12)*2000</f>
        <v>1000</v>
      </c>
      <c r="D7">
        <f>(6/12)*10</f>
        <v>5</v>
      </c>
      <c r="E7">
        <f>(6/12)*5</f>
        <v>2.5</v>
      </c>
      <c r="F7">
        <v>393005</v>
      </c>
      <c r="G7">
        <v>3161</v>
      </c>
    </row>
    <row r="8" spans="1:27" x14ac:dyDescent="0.25">
      <c r="A8" t="s">
        <v>36</v>
      </c>
      <c r="B8" t="s">
        <v>15</v>
      </c>
      <c r="C8">
        <f>(9/12)*2000</f>
        <v>1500</v>
      </c>
      <c r="D8">
        <f>(9/12)*10</f>
        <v>7.5</v>
      </c>
      <c r="E8">
        <f>(9/12)*5</f>
        <v>3.75</v>
      </c>
      <c r="F8">
        <v>575737</v>
      </c>
      <c r="G8">
        <v>4718</v>
      </c>
    </row>
    <row r="9" spans="1:27" x14ac:dyDescent="0.25">
      <c r="A9" s="1" t="s">
        <v>37</v>
      </c>
      <c r="B9" s="1" t="s">
        <v>15</v>
      </c>
      <c r="C9" s="1">
        <f>(12/12)*2000</f>
        <v>2000</v>
      </c>
      <c r="D9" s="1">
        <f>(12/12)*10</f>
        <v>10</v>
      </c>
      <c r="E9" s="1">
        <f>(12/12)*5</f>
        <v>5</v>
      </c>
      <c r="F9" s="1">
        <v>763426</v>
      </c>
      <c r="G9" s="1">
        <v>6262</v>
      </c>
      <c r="H9" s="1"/>
    </row>
    <row r="10" spans="1:27" x14ac:dyDescent="0.25">
      <c r="A10" t="s">
        <v>38</v>
      </c>
      <c r="B10" t="s">
        <v>15</v>
      </c>
      <c r="C10">
        <f>(3/12)*20000</f>
        <v>5000</v>
      </c>
      <c r="D10">
        <f>(3/12)*100</f>
        <v>25</v>
      </c>
      <c r="E10">
        <f>(3/12)*50.2</f>
        <v>12.55</v>
      </c>
      <c r="F10">
        <v>1866454</v>
      </c>
      <c r="G10">
        <v>16101</v>
      </c>
      <c r="H10">
        <v>35647</v>
      </c>
    </row>
    <row r="11" spans="1:27" x14ac:dyDescent="0.25">
      <c r="A11" t="s">
        <v>49</v>
      </c>
      <c r="B11" t="s">
        <v>15</v>
      </c>
      <c r="C11">
        <f>(3/12)*2000</f>
        <v>500</v>
      </c>
      <c r="D11">
        <f>(3/12)*10</f>
        <v>2.5</v>
      </c>
      <c r="E11">
        <f>(3/12)*5</f>
        <v>1.25</v>
      </c>
      <c r="F11">
        <v>246999</v>
      </c>
      <c r="G11">
        <v>2014</v>
      </c>
      <c r="H11">
        <v>4914</v>
      </c>
    </row>
    <row r="12" spans="1:27" x14ac:dyDescent="0.25">
      <c r="A12" t="s">
        <v>48</v>
      </c>
      <c r="B12" t="s">
        <v>15</v>
      </c>
      <c r="C12">
        <f>(6/12)*2000</f>
        <v>1000</v>
      </c>
      <c r="D12">
        <f>(6/12)*10</f>
        <v>5</v>
      </c>
      <c r="E12">
        <f>(6/12)*5</f>
        <v>2.5</v>
      </c>
      <c r="F12">
        <v>387481</v>
      </c>
      <c r="G12">
        <v>3199</v>
      </c>
      <c r="H12">
        <v>7739</v>
      </c>
    </row>
    <row r="13" spans="1:27" x14ac:dyDescent="0.25">
      <c r="A13" t="s">
        <v>39</v>
      </c>
      <c r="B13" t="s">
        <v>15</v>
      </c>
      <c r="C13">
        <f>(9/12)*2000</f>
        <v>1500</v>
      </c>
      <c r="D13">
        <f>(9/12)*10</f>
        <v>7.5</v>
      </c>
      <c r="E13">
        <f>(9/12)*5</f>
        <v>3.75</v>
      </c>
      <c r="F13">
        <v>578604</v>
      </c>
      <c r="G13">
        <v>4843</v>
      </c>
      <c r="H13">
        <v>11381</v>
      </c>
    </row>
    <row r="14" spans="1:27" x14ac:dyDescent="0.25">
      <c r="A14" s="1" t="s">
        <v>47</v>
      </c>
      <c r="B14" s="1" t="s">
        <v>15</v>
      </c>
      <c r="C14" s="1">
        <f>(12/12)*2000</f>
        <v>2000</v>
      </c>
      <c r="D14" s="1">
        <f>(12/12)*10</f>
        <v>10</v>
      </c>
      <c r="E14" s="1">
        <f>(12/12)*5</f>
        <v>5</v>
      </c>
      <c r="F14" s="1">
        <v>745454</v>
      </c>
      <c r="G14" s="1">
        <v>6183</v>
      </c>
      <c r="H14" s="1">
        <v>14933</v>
      </c>
    </row>
    <row r="15" spans="1:27" x14ac:dyDescent="0.25">
      <c r="A15" t="s">
        <v>40</v>
      </c>
      <c r="B15" t="s">
        <v>15</v>
      </c>
      <c r="C15">
        <f>(6/12)*20000</f>
        <v>10000</v>
      </c>
      <c r="D15">
        <f>(6/12)*100</f>
        <v>50</v>
      </c>
      <c r="E15">
        <f>(6/12)*50.2</f>
        <v>25.1</v>
      </c>
      <c r="F15">
        <v>3261712</v>
      </c>
      <c r="G15">
        <v>29393</v>
      </c>
      <c r="H15">
        <v>62363</v>
      </c>
    </row>
    <row r="16" spans="1:27" x14ac:dyDescent="0.25">
      <c r="A16" t="s">
        <v>41</v>
      </c>
      <c r="B16" t="s">
        <v>15</v>
      </c>
      <c r="C16">
        <f>(9/12)*20000</f>
        <v>15000</v>
      </c>
      <c r="D16">
        <f>(9/12)*100</f>
        <v>75</v>
      </c>
      <c r="E16">
        <f>(9/12)*50.2</f>
        <v>37.650000000000006</v>
      </c>
      <c r="F16">
        <v>4800015</v>
      </c>
      <c r="G16">
        <v>45042</v>
      </c>
      <c r="H16">
        <v>90726</v>
      </c>
    </row>
    <row r="17" spans="1:10" x14ac:dyDescent="0.25">
      <c r="A17" t="s">
        <v>42</v>
      </c>
      <c r="B17" t="s">
        <v>15</v>
      </c>
      <c r="C17">
        <f>(12/12)*20000</f>
        <v>20000</v>
      </c>
      <c r="D17">
        <f>(12/12)*100</f>
        <v>100</v>
      </c>
      <c r="E17">
        <f>(12/12)*50.2</f>
        <v>50.2</v>
      </c>
      <c r="F17">
        <v>6332145</v>
      </c>
      <c r="G17">
        <v>61780</v>
      </c>
      <c r="H17">
        <v>119517</v>
      </c>
    </row>
    <row r="18" spans="1:10" x14ac:dyDescent="0.25">
      <c r="A18" t="s">
        <v>43</v>
      </c>
      <c r="B18" t="s">
        <v>15</v>
      </c>
      <c r="C18">
        <f>(3/12)*C21</f>
        <v>12525</v>
      </c>
      <c r="D18">
        <f>(3/12)*D21</f>
        <v>251.5</v>
      </c>
      <c r="E18">
        <f>(3/12)*500</f>
        <v>125</v>
      </c>
      <c r="F18">
        <v>4481870</v>
      </c>
      <c r="G18">
        <v>164367</v>
      </c>
      <c r="H18">
        <v>261960</v>
      </c>
    </row>
    <row r="19" spans="1:10" x14ac:dyDescent="0.25">
      <c r="A19" t="s">
        <v>44</v>
      </c>
      <c r="B19" t="s">
        <v>15</v>
      </c>
      <c r="C19">
        <f>(6/12)*C21</f>
        <v>25050</v>
      </c>
      <c r="D19">
        <f>(6/12)*D21</f>
        <v>503</v>
      </c>
      <c r="E19">
        <f>(6/12)*500</f>
        <v>250</v>
      </c>
      <c r="F19">
        <v>7731876</v>
      </c>
      <c r="G19">
        <v>308876</v>
      </c>
      <c r="H19">
        <v>468791</v>
      </c>
    </row>
    <row r="20" spans="1:10" x14ac:dyDescent="0.25">
      <c r="A20" t="s">
        <v>45</v>
      </c>
      <c r="B20" t="s">
        <v>15</v>
      </c>
      <c r="C20">
        <f>(9/12)*C21</f>
        <v>37575</v>
      </c>
      <c r="D20">
        <f>(9/12)*D21</f>
        <v>754.5</v>
      </c>
      <c r="E20">
        <f>(9/12)*500</f>
        <v>375</v>
      </c>
      <c r="F20">
        <v>10909833</v>
      </c>
      <c r="G20">
        <v>467325</v>
      </c>
      <c r="H20">
        <v>566249</v>
      </c>
    </row>
    <row r="21" spans="1:10" x14ac:dyDescent="0.25">
      <c r="A21" t="s">
        <v>46</v>
      </c>
      <c r="B21" t="s">
        <v>15</v>
      </c>
      <c r="C21">
        <v>50100</v>
      </c>
      <c r="D21">
        <v>1006</v>
      </c>
      <c r="E21">
        <f>(12/12)*500</f>
        <v>500</v>
      </c>
      <c r="F21">
        <v>13701634</v>
      </c>
      <c r="G21">
        <v>613116</v>
      </c>
      <c r="H21">
        <v>712453</v>
      </c>
    </row>
    <row r="22" spans="1:10" x14ac:dyDescent="0.25">
      <c r="A22" t="s">
        <v>11</v>
      </c>
      <c r="B22" t="s">
        <v>9</v>
      </c>
      <c r="C22" t="s">
        <v>7</v>
      </c>
      <c r="D22" t="s">
        <v>7</v>
      </c>
      <c r="E22" t="s">
        <v>7</v>
      </c>
      <c r="F22">
        <v>40139</v>
      </c>
      <c r="G22">
        <v>466</v>
      </c>
      <c r="H22">
        <v>3579</v>
      </c>
    </row>
    <row r="23" spans="1:10" x14ac:dyDescent="0.25">
      <c r="A23" t="s">
        <v>32</v>
      </c>
      <c r="B23" t="s">
        <v>9</v>
      </c>
      <c r="C23" t="s">
        <v>7</v>
      </c>
      <c r="D23" t="s">
        <v>7</v>
      </c>
      <c r="E23" t="s">
        <v>7</v>
      </c>
      <c r="F23">
        <v>15611</v>
      </c>
      <c r="G23">
        <v>280</v>
      </c>
      <c r="H23">
        <v>1244</v>
      </c>
    </row>
    <row r="24" spans="1:10" x14ac:dyDescent="0.25">
      <c r="A24" s="1" t="s">
        <v>20</v>
      </c>
      <c r="B24" s="1" t="s">
        <v>19</v>
      </c>
      <c r="C24" s="1" t="s">
        <v>7</v>
      </c>
      <c r="D24" s="1" t="s">
        <v>7</v>
      </c>
      <c r="E24" s="1" t="s">
        <v>7</v>
      </c>
      <c r="F24" s="1">
        <v>724846</v>
      </c>
      <c r="G24" s="1">
        <v>6250</v>
      </c>
      <c r="H24" s="1">
        <v>15395</v>
      </c>
    </row>
    <row r="25" spans="1:10" x14ac:dyDescent="0.25">
      <c r="A25" t="s">
        <v>16</v>
      </c>
      <c r="B25" t="s">
        <v>9</v>
      </c>
      <c r="C25" t="s">
        <v>7</v>
      </c>
      <c r="D25" t="s">
        <v>7</v>
      </c>
      <c r="E25" t="s">
        <v>7</v>
      </c>
      <c r="F25">
        <v>17535</v>
      </c>
      <c r="G25">
        <v>225</v>
      </c>
      <c r="H25">
        <v>776</v>
      </c>
    </row>
    <row r="26" spans="1:10" x14ac:dyDescent="0.25">
      <c r="A26" t="s">
        <v>51</v>
      </c>
      <c r="B26" t="s">
        <v>22</v>
      </c>
      <c r="C26" t="s">
        <v>7</v>
      </c>
      <c r="D26" t="s">
        <v>7</v>
      </c>
      <c r="E26" t="s">
        <v>7</v>
      </c>
      <c r="F26">
        <v>12141106</v>
      </c>
      <c r="G26">
        <v>1221</v>
      </c>
      <c r="H26">
        <v>8698</v>
      </c>
      <c r="I26">
        <v>0</v>
      </c>
      <c r="J26">
        <f>H26</f>
        <v>8698</v>
      </c>
    </row>
    <row r="27" spans="1:10" x14ac:dyDescent="0.25">
      <c r="A27" t="s">
        <v>52</v>
      </c>
      <c r="B27" t="s">
        <v>22</v>
      </c>
      <c r="C27" t="s">
        <v>7</v>
      </c>
      <c r="D27" t="s">
        <v>7</v>
      </c>
      <c r="E27" t="s">
        <v>7</v>
      </c>
      <c r="F27">
        <v>12508969</v>
      </c>
      <c r="G27">
        <v>1390</v>
      </c>
      <c r="H27">
        <v>7798</v>
      </c>
      <c r="I27">
        <v>1</v>
      </c>
      <c r="J27">
        <f t="shared" ref="J27:J31" si="0">H27</f>
        <v>7798</v>
      </c>
    </row>
    <row r="28" spans="1:10" x14ac:dyDescent="0.25">
      <c r="A28" t="s">
        <v>53</v>
      </c>
      <c r="B28" t="s">
        <v>22</v>
      </c>
      <c r="C28" t="s">
        <v>7</v>
      </c>
      <c r="D28" t="s">
        <v>7</v>
      </c>
      <c r="E28" t="s">
        <v>7</v>
      </c>
      <c r="F28">
        <v>14690487</v>
      </c>
      <c r="G28">
        <v>1619</v>
      </c>
      <c r="H28">
        <v>16141</v>
      </c>
      <c r="I28">
        <v>2</v>
      </c>
      <c r="J28">
        <f t="shared" si="0"/>
        <v>16141</v>
      </c>
    </row>
    <row r="29" spans="1:10" x14ac:dyDescent="0.25">
      <c r="A29" t="s">
        <v>54</v>
      </c>
      <c r="B29" t="s">
        <v>22</v>
      </c>
      <c r="C29" t="s">
        <v>7</v>
      </c>
      <c r="D29" t="s">
        <v>7</v>
      </c>
      <c r="E29" t="s">
        <v>7</v>
      </c>
      <c r="F29">
        <v>12955761</v>
      </c>
      <c r="G29">
        <v>1015</v>
      </c>
      <c r="H29">
        <v>12537</v>
      </c>
      <c r="I29">
        <v>4</v>
      </c>
      <c r="J29">
        <f t="shared" si="0"/>
        <v>12537</v>
      </c>
    </row>
    <row r="30" spans="1:10" x14ac:dyDescent="0.25">
      <c r="A30" t="s">
        <v>55</v>
      </c>
      <c r="B30" t="s">
        <v>22</v>
      </c>
      <c r="C30" t="s">
        <v>7</v>
      </c>
      <c r="D30" t="s">
        <v>7</v>
      </c>
      <c r="E30" t="s">
        <v>7</v>
      </c>
      <c r="F30">
        <v>15432685</v>
      </c>
      <c r="G30">
        <v>1604</v>
      </c>
      <c r="H30">
        <v>7766</v>
      </c>
      <c r="I30">
        <v>6</v>
      </c>
      <c r="J30">
        <f t="shared" si="0"/>
        <v>7766</v>
      </c>
    </row>
    <row r="31" spans="1:10" x14ac:dyDescent="0.25">
      <c r="A31" t="s">
        <v>56</v>
      </c>
      <c r="B31" t="s">
        <v>22</v>
      </c>
      <c r="C31" t="s">
        <v>7</v>
      </c>
      <c r="D31" t="s">
        <v>7</v>
      </c>
      <c r="E31" t="s">
        <v>7</v>
      </c>
      <c r="F31">
        <v>15496484</v>
      </c>
      <c r="G31">
        <v>1835</v>
      </c>
      <c r="H31">
        <v>13307</v>
      </c>
      <c r="I31">
        <v>12</v>
      </c>
      <c r="J31">
        <f t="shared" si="0"/>
        <v>13307</v>
      </c>
    </row>
    <row r="32" spans="1:10" x14ac:dyDescent="0.25">
      <c r="A32" t="s">
        <v>57</v>
      </c>
      <c r="B32" t="s">
        <v>22</v>
      </c>
      <c r="C32" t="s">
        <v>7</v>
      </c>
      <c r="D32" t="s">
        <v>7</v>
      </c>
      <c r="E32" t="s">
        <v>7</v>
      </c>
      <c r="F32">
        <v>15828981</v>
      </c>
      <c r="G32">
        <v>1715</v>
      </c>
      <c r="H32">
        <v>11668</v>
      </c>
      <c r="I32">
        <v>24</v>
      </c>
      <c r="J32">
        <f>H32</f>
        <v>11668</v>
      </c>
    </row>
    <row r="33" spans="1:11" x14ac:dyDescent="0.25">
      <c r="A33" t="s">
        <v>58</v>
      </c>
      <c r="B33" t="s">
        <v>22</v>
      </c>
      <c r="C33" t="s">
        <v>7</v>
      </c>
      <c r="D33" t="s">
        <v>7</v>
      </c>
      <c r="E33" t="s">
        <v>7</v>
      </c>
      <c r="F33">
        <v>15828981</v>
      </c>
      <c r="G33">
        <v>1715</v>
      </c>
      <c r="H33">
        <v>11668</v>
      </c>
      <c r="I33">
        <v>0</v>
      </c>
      <c r="J33">
        <f t="shared" ref="J33:J71" si="1">H33</f>
        <v>11668</v>
      </c>
    </row>
    <row r="34" spans="1:11" x14ac:dyDescent="0.25">
      <c r="A34" t="s">
        <v>59</v>
      </c>
      <c r="B34" t="s">
        <v>22</v>
      </c>
      <c r="C34" t="s">
        <v>7</v>
      </c>
      <c r="D34" t="s">
        <v>7</v>
      </c>
      <c r="E34" t="s">
        <v>7</v>
      </c>
      <c r="F34">
        <v>18541593</v>
      </c>
      <c r="G34">
        <v>3130</v>
      </c>
      <c r="H34">
        <v>45464</v>
      </c>
      <c r="I34">
        <v>1</v>
      </c>
      <c r="J34">
        <f t="shared" si="1"/>
        <v>45464</v>
      </c>
    </row>
    <row r="35" spans="1:11" x14ac:dyDescent="0.25">
      <c r="A35" t="s">
        <v>60</v>
      </c>
      <c r="B35" t="s">
        <v>22</v>
      </c>
      <c r="C35" t="s">
        <v>7</v>
      </c>
      <c r="D35" t="s">
        <v>7</v>
      </c>
      <c r="E35" t="s">
        <v>7</v>
      </c>
      <c r="F35">
        <v>20318925</v>
      </c>
      <c r="G35">
        <v>3802</v>
      </c>
      <c r="H35">
        <v>8875</v>
      </c>
      <c r="I35">
        <v>2</v>
      </c>
      <c r="J35">
        <f t="shared" si="1"/>
        <v>8875</v>
      </c>
    </row>
    <row r="36" spans="1:11" x14ac:dyDescent="0.25">
      <c r="A36" s="1" t="s">
        <v>18</v>
      </c>
      <c r="B36" s="1" t="s">
        <v>19</v>
      </c>
      <c r="C36" s="1" t="s">
        <v>7</v>
      </c>
      <c r="D36" s="1" t="s">
        <v>7</v>
      </c>
      <c r="E36" s="1" t="s">
        <v>7</v>
      </c>
      <c r="F36" s="1">
        <v>848977</v>
      </c>
      <c r="G36" s="1">
        <v>6171</v>
      </c>
      <c r="H36" s="1">
        <v>29533</v>
      </c>
      <c r="K36" t="s">
        <v>94</v>
      </c>
    </row>
    <row r="37" spans="1:11" x14ac:dyDescent="0.25">
      <c r="A37" t="s">
        <v>17</v>
      </c>
      <c r="B37" t="s">
        <v>9</v>
      </c>
      <c r="C37" t="s">
        <v>7</v>
      </c>
      <c r="D37" t="s">
        <v>7</v>
      </c>
      <c r="E37" t="s">
        <v>7</v>
      </c>
      <c r="F37">
        <v>32753</v>
      </c>
      <c r="G37">
        <v>171</v>
      </c>
      <c r="H37">
        <v>589</v>
      </c>
      <c r="K37" t="s">
        <v>95</v>
      </c>
    </row>
    <row r="38" spans="1:11" x14ac:dyDescent="0.25">
      <c r="A38" t="s">
        <v>61</v>
      </c>
      <c r="B38" t="s">
        <v>22</v>
      </c>
      <c r="C38" t="s">
        <v>7</v>
      </c>
      <c r="D38" t="s">
        <v>7</v>
      </c>
      <c r="E38" t="s">
        <v>7</v>
      </c>
      <c r="F38">
        <v>19965281</v>
      </c>
      <c r="G38">
        <v>1173</v>
      </c>
      <c r="H38">
        <v>12875</v>
      </c>
      <c r="I38">
        <v>4</v>
      </c>
      <c r="J38">
        <f t="shared" si="1"/>
        <v>12875</v>
      </c>
    </row>
    <row r="39" spans="1:11" x14ac:dyDescent="0.25">
      <c r="A39" t="s">
        <v>62</v>
      </c>
      <c r="B39" t="s">
        <v>22</v>
      </c>
      <c r="C39" t="s">
        <v>7</v>
      </c>
      <c r="D39" t="s">
        <v>7</v>
      </c>
      <c r="E39" t="s">
        <v>7</v>
      </c>
      <c r="F39">
        <v>23510866</v>
      </c>
      <c r="G39">
        <v>1263</v>
      </c>
      <c r="H39">
        <v>5886</v>
      </c>
      <c r="I39">
        <v>6</v>
      </c>
      <c r="J39">
        <f t="shared" si="1"/>
        <v>5886</v>
      </c>
    </row>
    <row r="40" spans="1:11" x14ac:dyDescent="0.25">
      <c r="A40" t="s">
        <v>63</v>
      </c>
      <c r="B40" t="s">
        <v>22</v>
      </c>
      <c r="C40" t="s">
        <v>7</v>
      </c>
      <c r="D40" t="s">
        <v>7</v>
      </c>
      <c r="E40" t="s">
        <v>7</v>
      </c>
      <c r="F40">
        <v>25058323</v>
      </c>
      <c r="G40">
        <v>3222</v>
      </c>
      <c r="H40">
        <v>10142</v>
      </c>
      <c r="I40">
        <v>12</v>
      </c>
      <c r="J40">
        <f t="shared" si="1"/>
        <v>10142</v>
      </c>
    </row>
    <row r="41" spans="1:11" x14ac:dyDescent="0.25">
      <c r="A41" t="s">
        <v>64</v>
      </c>
      <c r="B41" t="s">
        <v>22</v>
      </c>
      <c r="C41" t="s">
        <v>7</v>
      </c>
      <c r="D41" t="s">
        <v>7</v>
      </c>
      <c r="E41" t="s">
        <v>7</v>
      </c>
      <c r="F41">
        <v>30009471</v>
      </c>
      <c r="G41">
        <v>3794</v>
      </c>
      <c r="H41">
        <v>5328</v>
      </c>
      <c r="I41">
        <v>24</v>
      </c>
      <c r="J41">
        <f t="shared" si="1"/>
        <v>5328</v>
      </c>
    </row>
    <row r="42" spans="1:11" x14ac:dyDescent="0.25">
      <c r="A42" t="s">
        <v>65</v>
      </c>
      <c r="B42" t="s">
        <v>22</v>
      </c>
      <c r="C42" t="s">
        <v>7</v>
      </c>
      <c r="D42" t="s">
        <v>7</v>
      </c>
      <c r="E42" t="s">
        <v>7</v>
      </c>
      <c r="F42">
        <v>22269748</v>
      </c>
      <c r="G42">
        <v>6118</v>
      </c>
      <c r="H42">
        <v>16601</v>
      </c>
      <c r="I42">
        <v>0</v>
      </c>
      <c r="J42">
        <f t="shared" si="1"/>
        <v>16601</v>
      </c>
    </row>
    <row r="43" spans="1:11" x14ac:dyDescent="0.25">
      <c r="A43" t="s">
        <v>66</v>
      </c>
      <c r="B43" t="s">
        <v>22</v>
      </c>
      <c r="C43" t="s">
        <v>7</v>
      </c>
      <c r="D43" t="s">
        <v>7</v>
      </c>
      <c r="E43" t="s">
        <v>7</v>
      </c>
      <c r="F43">
        <v>17045521</v>
      </c>
      <c r="G43">
        <v>862</v>
      </c>
      <c r="H43">
        <v>18986</v>
      </c>
      <c r="I43">
        <v>1</v>
      </c>
      <c r="J43">
        <f t="shared" si="1"/>
        <v>18986</v>
      </c>
    </row>
    <row r="44" spans="1:11" x14ac:dyDescent="0.25">
      <c r="A44" t="s">
        <v>67</v>
      </c>
      <c r="B44" t="s">
        <v>22</v>
      </c>
      <c r="C44" t="s">
        <v>7</v>
      </c>
      <c r="D44" t="s">
        <v>7</v>
      </c>
      <c r="E44" t="s">
        <v>7</v>
      </c>
      <c r="F44">
        <v>19091613</v>
      </c>
      <c r="G44">
        <v>957</v>
      </c>
      <c r="H44">
        <v>11322</v>
      </c>
      <c r="I44">
        <v>2</v>
      </c>
      <c r="J44">
        <f t="shared" si="1"/>
        <v>11322</v>
      </c>
    </row>
    <row r="45" spans="1:11" x14ac:dyDescent="0.25">
      <c r="A45" t="s">
        <v>68</v>
      </c>
      <c r="B45" t="s">
        <v>22</v>
      </c>
      <c r="C45" t="s">
        <v>7</v>
      </c>
      <c r="D45" t="s">
        <v>7</v>
      </c>
      <c r="E45" t="s">
        <v>7</v>
      </c>
      <c r="F45">
        <v>22390139</v>
      </c>
      <c r="G45">
        <v>1542</v>
      </c>
      <c r="H45">
        <v>5857</v>
      </c>
      <c r="I45">
        <v>4</v>
      </c>
      <c r="J45">
        <f t="shared" si="1"/>
        <v>5857</v>
      </c>
    </row>
    <row r="46" spans="1:11" x14ac:dyDescent="0.25">
      <c r="A46" t="s">
        <v>69</v>
      </c>
      <c r="B46" t="s">
        <v>22</v>
      </c>
      <c r="C46" t="s">
        <v>7</v>
      </c>
      <c r="D46" t="s">
        <v>7</v>
      </c>
      <c r="E46" t="s">
        <v>7</v>
      </c>
      <c r="F46">
        <v>17902932</v>
      </c>
      <c r="G46">
        <v>1057</v>
      </c>
      <c r="H46">
        <v>16306</v>
      </c>
      <c r="I46">
        <v>6</v>
      </c>
      <c r="J46">
        <f t="shared" si="1"/>
        <v>16306</v>
      </c>
    </row>
    <row r="47" spans="1:11" x14ac:dyDescent="0.25">
      <c r="A47" t="s">
        <v>70</v>
      </c>
      <c r="B47" t="s">
        <v>22</v>
      </c>
      <c r="C47" t="s">
        <v>7</v>
      </c>
      <c r="D47" t="s">
        <v>7</v>
      </c>
      <c r="E47" t="s">
        <v>7</v>
      </c>
      <c r="F47">
        <v>19205134</v>
      </c>
      <c r="G47">
        <v>1195</v>
      </c>
      <c r="H47">
        <v>19873</v>
      </c>
      <c r="I47">
        <v>12</v>
      </c>
      <c r="J47">
        <f t="shared" si="1"/>
        <v>19873</v>
      </c>
    </row>
    <row r="48" spans="1:11" x14ac:dyDescent="0.25">
      <c r="A48" s="1" t="s">
        <v>24</v>
      </c>
      <c r="B48" s="1" t="s">
        <v>19</v>
      </c>
      <c r="C48" s="1" t="s">
        <v>7</v>
      </c>
      <c r="D48" s="1" t="s">
        <v>7</v>
      </c>
      <c r="E48" s="1" t="s">
        <v>7</v>
      </c>
      <c r="F48" s="1">
        <v>774566</v>
      </c>
      <c r="G48" s="1">
        <v>6163</v>
      </c>
      <c r="H48" s="1">
        <v>39926</v>
      </c>
    </row>
    <row r="49" spans="1:12" x14ac:dyDescent="0.25">
      <c r="A49" t="s">
        <v>21</v>
      </c>
      <c r="B49" t="s">
        <v>9</v>
      </c>
      <c r="C49" t="s">
        <v>7</v>
      </c>
      <c r="D49" t="s">
        <v>7</v>
      </c>
      <c r="E49" t="s">
        <v>7</v>
      </c>
      <c r="F49">
        <v>52659</v>
      </c>
      <c r="G49">
        <v>145</v>
      </c>
      <c r="H49">
        <v>523</v>
      </c>
    </row>
    <row r="50" spans="1:12" x14ac:dyDescent="0.25">
      <c r="A50" t="s">
        <v>71</v>
      </c>
      <c r="B50" t="s">
        <v>22</v>
      </c>
      <c r="C50" t="s">
        <v>7</v>
      </c>
      <c r="D50" t="s">
        <v>7</v>
      </c>
      <c r="E50" t="s">
        <v>7</v>
      </c>
      <c r="F50">
        <v>17594969</v>
      </c>
      <c r="G50">
        <v>1544</v>
      </c>
      <c r="H50">
        <v>7801</v>
      </c>
      <c r="I50">
        <v>24</v>
      </c>
      <c r="J50">
        <f t="shared" si="1"/>
        <v>7801</v>
      </c>
    </row>
    <row r="51" spans="1:12" x14ac:dyDescent="0.25">
      <c r="A51" t="s">
        <v>72</v>
      </c>
      <c r="B51" t="s">
        <v>22</v>
      </c>
      <c r="C51" t="s">
        <v>7</v>
      </c>
      <c r="D51" t="s">
        <v>7</v>
      </c>
      <c r="E51" t="s">
        <v>7</v>
      </c>
      <c r="F51">
        <v>13812184</v>
      </c>
      <c r="G51">
        <v>896016</v>
      </c>
      <c r="H51">
        <v>3298</v>
      </c>
      <c r="I51">
        <v>0</v>
      </c>
      <c r="J51">
        <f t="shared" si="1"/>
        <v>3298</v>
      </c>
    </row>
    <row r="52" spans="1:12" x14ac:dyDescent="0.25">
      <c r="A52" t="s">
        <v>73</v>
      </c>
      <c r="B52" t="s">
        <v>22</v>
      </c>
      <c r="C52" t="s">
        <v>7</v>
      </c>
      <c r="D52" t="s">
        <v>7</v>
      </c>
      <c r="E52" t="s">
        <v>7</v>
      </c>
      <c r="F52">
        <v>18062700</v>
      </c>
      <c r="G52">
        <v>842956</v>
      </c>
      <c r="H52">
        <v>9211</v>
      </c>
      <c r="I52">
        <v>1</v>
      </c>
      <c r="J52">
        <f t="shared" si="1"/>
        <v>9211</v>
      </c>
    </row>
    <row r="53" spans="1:12" x14ac:dyDescent="0.25">
      <c r="A53" t="s">
        <v>74</v>
      </c>
      <c r="B53" t="s">
        <v>22</v>
      </c>
      <c r="C53" t="s">
        <v>7</v>
      </c>
      <c r="D53" t="s">
        <v>7</v>
      </c>
      <c r="E53" t="s">
        <v>7</v>
      </c>
      <c r="F53">
        <v>14772888</v>
      </c>
      <c r="G53">
        <v>762492</v>
      </c>
      <c r="H53">
        <v>14941</v>
      </c>
      <c r="I53">
        <v>2</v>
      </c>
      <c r="J53">
        <f t="shared" si="1"/>
        <v>14941</v>
      </c>
    </row>
    <row r="54" spans="1:12" x14ac:dyDescent="0.25">
      <c r="A54" t="s">
        <v>75</v>
      </c>
      <c r="B54" t="s">
        <v>22</v>
      </c>
      <c r="C54" t="s">
        <v>7</v>
      </c>
      <c r="D54" t="s">
        <v>7</v>
      </c>
      <c r="E54" t="s">
        <v>7</v>
      </c>
      <c r="F54">
        <v>13046952</v>
      </c>
      <c r="G54">
        <v>94321</v>
      </c>
      <c r="H54">
        <v>42937</v>
      </c>
      <c r="I54">
        <v>4</v>
      </c>
      <c r="J54">
        <f t="shared" si="1"/>
        <v>42937</v>
      </c>
    </row>
    <row r="55" spans="1:12" x14ac:dyDescent="0.25">
      <c r="A55" t="s">
        <v>76</v>
      </c>
      <c r="B55" t="s">
        <v>22</v>
      </c>
      <c r="C55" t="s">
        <v>7</v>
      </c>
      <c r="D55" t="s">
        <v>7</v>
      </c>
      <c r="E55" t="s">
        <v>7</v>
      </c>
      <c r="F55">
        <v>11481741</v>
      </c>
      <c r="G55">
        <v>18257</v>
      </c>
      <c r="H55">
        <v>15505</v>
      </c>
      <c r="I55">
        <v>6</v>
      </c>
      <c r="J55">
        <f t="shared" si="1"/>
        <v>15505</v>
      </c>
    </row>
    <row r="56" spans="1:12" x14ac:dyDescent="0.25">
      <c r="A56" t="s">
        <v>77</v>
      </c>
      <c r="B56" t="s">
        <v>22</v>
      </c>
      <c r="C56" t="s">
        <v>7</v>
      </c>
      <c r="D56" t="s">
        <v>7</v>
      </c>
      <c r="E56" t="s">
        <v>7</v>
      </c>
      <c r="F56">
        <v>11992728</v>
      </c>
      <c r="G56">
        <v>19926</v>
      </c>
      <c r="H56">
        <v>27864</v>
      </c>
      <c r="I56">
        <v>12</v>
      </c>
      <c r="J56">
        <f t="shared" si="1"/>
        <v>27864</v>
      </c>
    </row>
    <row r="57" spans="1:12" x14ac:dyDescent="0.25">
      <c r="A57" t="s">
        <v>78</v>
      </c>
      <c r="B57" t="s">
        <v>22</v>
      </c>
      <c r="C57" t="s">
        <v>7</v>
      </c>
      <c r="D57" t="s">
        <v>7</v>
      </c>
      <c r="E57" t="s">
        <v>7</v>
      </c>
      <c r="F57">
        <v>13805056</v>
      </c>
      <c r="G57">
        <v>33252</v>
      </c>
      <c r="H57">
        <v>24340</v>
      </c>
      <c r="I57">
        <v>24</v>
      </c>
      <c r="J57">
        <f t="shared" si="1"/>
        <v>24340</v>
      </c>
    </row>
    <row r="58" spans="1:12" x14ac:dyDescent="0.25">
      <c r="A58" t="s">
        <v>79</v>
      </c>
      <c r="B58" t="s">
        <v>22</v>
      </c>
      <c r="C58" t="s">
        <v>7</v>
      </c>
      <c r="D58" t="s">
        <v>7</v>
      </c>
      <c r="E58" t="s">
        <v>7</v>
      </c>
      <c r="F58">
        <v>9037933</v>
      </c>
      <c r="G58">
        <v>21844</v>
      </c>
      <c r="H58">
        <v>12379</v>
      </c>
      <c r="I58">
        <v>0</v>
      </c>
      <c r="J58">
        <f t="shared" si="1"/>
        <v>12379</v>
      </c>
    </row>
    <row r="59" spans="1:12" x14ac:dyDescent="0.25">
      <c r="A59" t="s">
        <v>80</v>
      </c>
      <c r="B59" t="s">
        <v>22</v>
      </c>
      <c r="C59" t="s">
        <v>7</v>
      </c>
      <c r="D59" t="s">
        <v>7</v>
      </c>
      <c r="E59" t="s">
        <v>7</v>
      </c>
      <c r="F59">
        <v>11078859</v>
      </c>
      <c r="G59">
        <v>36774</v>
      </c>
      <c r="H59">
        <v>25988</v>
      </c>
      <c r="I59">
        <v>1</v>
      </c>
      <c r="J59">
        <f t="shared" si="1"/>
        <v>25988</v>
      </c>
    </row>
    <row r="60" spans="1:12" x14ac:dyDescent="0.25">
      <c r="A60" s="1" t="s">
        <v>28</v>
      </c>
      <c r="B60" s="1" t="s">
        <v>19</v>
      </c>
      <c r="C60" s="1" t="s">
        <v>7</v>
      </c>
      <c r="D60" s="1" t="s">
        <v>7</v>
      </c>
      <c r="E60" s="1" t="s">
        <v>7</v>
      </c>
      <c r="F60">
        <v>730744</v>
      </c>
      <c r="G60">
        <v>6278</v>
      </c>
      <c r="H60">
        <v>39225</v>
      </c>
      <c r="L60" t="s">
        <v>93</v>
      </c>
    </row>
    <row r="61" spans="1:12" x14ac:dyDescent="0.25">
      <c r="A61" t="s">
        <v>23</v>
      </c>
      <c r="B61" t="s">
        <v>9</v>
      </c>
      <c r="C61" t="s">
        <v>7</v>
      </c>
      <c r="D61" t="s">
        <v>7</v>
      </c>
      <c r="E61" t="s">
        <v>7</v>
      </c>
      <c r="F61">
        <v>28211</v>
      </c>
      <c r="G61">
        <v>160</v>
      </c>
      <c r="H61">
        <v>281</v>
      </c>
    </row>
    <row r="62" spans="1:12" x14ac:dyDescent="0.25">
      <c r="A62" t="s">
        <v>81</v>
      </c>
      <c r="B62" t="s">
        <v>22</v>
      </c>
      <c r="C62" t="s">
        <v>7</v>
      </c>
      <c r="D62" t="s">
        <v>7</v>
      </c>
      <c r="E62" t="s">
        <v>7</v>
      </c>
      <c r="F62">
        <v>9788245</v>
      </c>
      <c r="G62">
        <v>45853</v>
      </c>
      <c r="H62">
        <v>25767</v>
      </c>
      <c r="I62">
        <v>2</v>
      </c>
      <c r="J62">
        <f t="shared" si="1"/>
        <v>25767</v>
      </c>
    </row>
    <row r="63" spans="1:12" x14ac:dyDescent="0.25">
      <c r="A63" t="s">
        <v>82</v>
      </c>
      <c r="B63" t="s">
        <v>22</v>
      </c>
      <c r="C63" t="s">
        <v>7</v>
      </c>
      <c r="D63" t="s">
        <v>7</v>
      </c>
      <c r="E63" t="s">
        <v>7</v>
      </c>
      <c r="F63">
        <v>10878487</v>
      </c>
      <c r="G63">
        <v>55106</v>
      </c>
      <c r="H63">
        <v>17647</v>
      </c>
      <c r="I63">
        <v>4</v>
      </c>
      <c r="J63">
        <f t="shared" si="1"/>
        <v>17647</v>
      </c>
    </row>
    <row r="64" spans="1:12" x14ac:dyDescent="0.25">
      <c r="A64" t="s">
        <v>83</v>
      </c>
      <c r="B64" t="s">
        <v>22</v>
      </c>
      <c r="C64" t="s">
        <v>7</v>
      </c>
      <c r="D64" t="s">
        <v>7</v>
      </c>
      <c r="E64" t="s">
        <v>7</v>
      </c>
      <c r="F64">
        <v>13700206</v>
      </c>
      <c r="G64">
        <v>42534</v>
      </c>
      <c r="H64">
        <v>11738</v>
      </c>
      <c r="I64">
        <v>6</v>
      </c>
      <c r="J64">
        <f t="shared" si="1"/>
        <v>11738</v>
      </c>
    </row>
    <row r="65" spans="1:10" x14ac:dyDescent="0.25">
      <c r="A65" t="s">
        <v>84</v>
      </c>
      <c r="B65" t="s">
        <v>22</v>
      </c>
      <c r="C65" t="s">
        <v>7</v>
      </c>
      <c r="D65" t="s">
        <v>7</v>
      </c>
      <c r="E65" t="s">
        <v>7</v>
      </c>
      <c r="F65">
        <v>16993933</v>
      </c>
      <c r="G65">
        <v>987524</v>
      </c>
      <c r="H65">
        <v>6110</v>
      </c>
      <c r="I65">
        <v>12</v>
      </c>
      <c r="J65">
        <f t="shared" si="1"/>
        <v>6110</v>
      </c>
    </row>
    <row r="66" spans="1:10" x14ac:dyDescent="0.25">
      <c r="A66" t="s">
        <v>85</v>
      </c>
      <c r="B66" t="s">
        <v>22</v>
      </c>
      <c r="C66" t="s">
        <v>7</v>
      </c>
      <c r="D66" t="s">
        <v>7</v>
      </c>
      <c r="E66" t="s">
        <v>7</v>
      </c>
      <c r="F66">
        <v>17717619</v>
      </c>
      <c r="G66">
        <v>120414</v>
      </c>
      <c r="H66">
        <v>8411</v>
      </c>
      <c r="I66">
        <v>24</v>
      </c>
      <c r="J66">
        <f t="shared" si="1"/>
        <v>8411</v>
      </c>
    </row>
    <row r="67" spans="1:10" x14ac:dyDescent="0.25">
      <c r="A67" t="s">
        <v>86</v>
      </c>
      <c r="B67" t="s">
        <v>22</v>
      </c>
      <c r="C67" t="s">
        <v>7</v>
      </c>
      <c r="D67" t="s">
        <v>7</v>
      </c>
      <c r="E67" t="s">
        <v>7</v>
      </c>
      <c r="F67">
        <v>12510502</v>
      </c>
      <c r="G67">
        <v>18931</v>
      </c>
      <c r="H67">
        <v>13016</v>
      </c>
      <c r="I67">
        <v>0</v>
      </c>
      <c r="J67">
        <f t="shared" si="1"/>
        <v>13016</v>
      </c>
    </row>
    <row r="68" spans="1:10" x14ac:dyDescent="0.25">
      <c r="A68" t="s">
        <v>87</v>
      </c>
      <c r="B68" t="s">
        <v>22</v>
      </c>
      <c r="C68" t="s">
        <v>7</v>
      </c>
      <c r="D68" t="s">
        <v>7</v>
      </c>
      <c r="E68" t="s">
        <v>7</v>
      </c>
      <c r="F68">
        <v>10954666</v>
      </c>
      <c r="G68">
        <v>2663</v>
      </c>
      <c r="H68">
        <v>7744</v>
      </c>
      <c r="I68">
        <v>1</v>
      </c>
      <c r="J68">
        <f t="shared" si="1"/>
        <v>7744</v>
      </c>
    </row>
    <row r="69" spans="1:10" x14ac:dyDescent="0.25">
      <c r="A69" t="s">
        <v>88</v>
      </c>
      <c r="B69" t="s">
        <v>22</v>
      </c>
      <c r="C69" t="s">
        <v>7</v>
      </c>
      <c r="D69" t="s">
        <v>7</v>
      </c>
      <c r="E69" t="s">
        <v>7</v>
      </c>
      <c r="F69">
        <v>8953612</v>
      </c>
      <c r="G69">
        <v>24757</v>
      </c>
      <c r="H69">
        <v>13845</v>
      </c>
      <c r="I69">
        <v>2</v>
      </c>
      <c r="J69">
        <f t="shared" si="1"/>
        <v>13845</v>
      </c>
    </row>
    <row r="70" spans="1:10" x14ac:dyDescent="0.25">
      <c r="A70" t="s">
        <v>89</v>
      </c>
      <c r="B70" t="s">
        <v>22</v>
      </c>
      <c r="C70" t="s">
        <v>7</v>
      </c>
      <c r="D70" t="s">
        <v>7</v>
      </c>
      <c r="E70" t="s">
        <v>7</v>
      </c>
      <c r="F70">
        <v>10264687</v>
      </c>
      <c r="G70">
        <v>2865</v>
      </c>
      <c r="H70">
        <v>31281</v>
      </c>
      <c r="I70">
        <v>4</v>
      </c>
      <c r="J70">
        <f t="shared" si="1"/>
        <v>31281</v>
      </c>
    </row>
    <row r="71" spans="1:10" x14ac:dyDescent="0.25">
      <c r="A71" t="s">
        <v>90</v>
      </c>
      <c r="B71" t="s">
        <v>22</v>
      </c>
      <c r="C71" t="s">
        <v>7</v>
      </c>
      <c r="D71" t="s">
        <v>7</v>
      </c>
      <c r="E71" t="s">
        <v>7</v>
      </c>
      <c r="F71">
        <v>10776582</v>
      </c>
      <c r="G71">
        <v>15461</v>
      </c>
      <c r="H71">
        <v>19257</v>
      </c>
      <c r="I71">
        <v>6</v>
      </c>
      <c r="J71">
        <f t="shared" si="1"/>
        <v>19257</v>
      </c>
    </row>
    <row r="72" spans="1:10" x14ac:dyDescent="0.25">
      <c r="A72" s="1" t="s">
        <v>29</v>
      </c>
      <c r="B72" s="1" t="s">
        <v>19</v>
      </c>
      <c r="C72" s="1" t="s">
        <v>7</v>
      </c>
      <c r="D72" s="1" t="s">
        <v>7</v>
      </c>
      <c r="E72" s="1" t="s">
        <v>7</v>
      </c>
      <c r="F72">
        <v>711638</v>
      </c>
      <c r="G72">
        <v>6326</v>
      </c>
      <c r="H72">
        <v>42838</v>
      </c>
    </row>
    <row r="73" spans="1:10" x14ac:dyDescent="0.25">
      <c r="A73" t="s">
        <v>25</v>
      </c>
      <c r="B73" t="s">
        <v>9</v>
      </c>
      <c r="C73" t="s">
        <v>7</v>
      </c>
      <c r="D73" t="s">
        <v>7</v>
      </c>
      <c r="E73" t="s">
        <v>7</v>
      </c>
      <c r="F73">
        <v>32348</v>
      </c>
      <c r="G73">
        <v>191</v>
      </c>
      <c r="H73">
        <v>494</v>
      </c>
    </row>
    <row r="74" spans="1:10" x14ac:dyDescent="0.25">
      <c r="A74" t="s">
        <v>91</v>
      </c>
      <c r="B74" t="s">
        <v>22</v>
      </c>
      <c r="C74" t="s">
        <v>7</v>
      </c>
      <c r="D74" t="s">
        <v>7</v>
      </c>
      <c r="E74" t="s">
        <v>7</v>
      </c>
      <c r="F74">
        <v>11656500</v>
      </c>
      <c r="G74">
        <v>3475</v>
      </c>
      <c r="H74">
        <v>16581</v>
      </c>
      <c r="I74">
        <v>12</v>
      </c>
      <c r="J74">
        <f t="shared" ref="J74:J75" si="2">H74</f>
        <v>16581</v>
      </c>
    </row>
    <row r="75" spans="1:10" x14ac:dyDescent="0.25">
      <c r="A75" t="s">
        <v>92</v>
      </c>
      <c r="B75" t="s">
        <v>22</v>
      </c>
      <c r="C75" t="s">
        <v>7</v>
      </c>
      <c r="D75" t="s">
        <v>7</v>
      </c>
      <c r="E75" t="s">
        <v>7</v>
      </c>
      <c r="F75">
        <v>18575992</v>
      </c>
      <c r="G75">
        <v>1681074</v>
      </c>
      <c r="H75">
        <v>9042</v>
      </c>
      <c r="I75">
        <v>24</v>
      </c>
      <c r="J75">
        <f t="shared" si="2"/>
        <v>9042</v>
      </c>
    </row>
    <row r="76" spans="1:10" x14ac:dyDescent="0.25">
      <c r="A76" s="1" t="s">
        <v>30</v>
      </c>
      <c r="B76" s="1" t="s">
        <v>19</v>
      </c>
      <c r="C76" s="1" t="s">
        <v>7</v>
      </c>
      <c r="D76" s="1" t="s">
        <v>7</v>
      </c>
      <c r="E76" s="1" t="s">
        <v>7</v>
      </c>
      <c r="F76">
        <v>779484</v>
      </c>
      <c r="G76">
        <v>10914</v>
      </c>
      <c r="H76">
        <v>14718</v>
      </c>
    </row>
    <row r="77" spans="1:10" x14ac:dyDescent="0.25">
      <c r="A77" t="s">
        <v>27</v>
      </c>
      <c r="B77" t="s">
        <v>9</v>
      </c>
      <c r="C77" t="s">
        <v>7</v>
      </c>
      <c r="D77" t="s">
        <v>7</v>
      </c>
      <c r="E77" t="s">
        <v>7</v>
      </c>
      <c r="F77">
        <v>28450</v>
      </c>
      <c r="G77">
        <v>238</v>
      </c>
      <c r="H77">
        <v>0</v>
      </c>
    </row>
    <row r="78" spans="1:10" x14ac:dyDescent="0.25">
      <c r="A78" t="s">
        <v>31</v>
      </c>
      <c r="B78" t="s">
        <v>9</v>
      </c>
      <c r="C78" t="s">
        <v>7</v>
      </c>
      <c r="D78" t="s">
        <v>7</v>
      </c>
      <c r="E78" t="s">
        <v>7</v>
      </c>
      <c r="F78">
        <v>19110</v>
      </c>
      <c r="G78">
        <v>155</v>
      </c>
      <c r="H78">
        <v>0</v>
      </c>
    </row>
  </sheetData>
  <phoneticPr fontId="1" type="noConversion"/>
  <conditionalFormatting sqref="F1:F1048576">
    <cfRule type="cellIs" dxfId="4" priority="27" operator="greaterThan">
      <formula>$F$21</formula>
    </cfRule>
    <cfRule type="cellIs" dxfId="3" priority="28" operator="greaterThan">
      <formula>$F$17</formula>
    </cfRule>
  </conditionalFormatting>
  <conditionalFormatting sqref="G1:G1048576">
    <cfRule type="cellIs" dxfId="2" priority="33" operator="greaterThan">
      <formula>$G$21</formula>
    </cfRule>
    <cfRule type="cellIs" dxfId="1" priority="34" operator="greaterThan">
      <formula>$G$17</formula>
    </cfRule>
  </conditionalFormatting>
  <conditionalFormatting sqref="H1:H1048576">
    <cfRule type="cellIs" dxfId="0" priority="39" operator="greaterThan">
      <formula>$H$21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Blakley, Brenden, D</cp:lastModifiedBy>
  <dcterms:created xsi:type="dcterms:W3CDTF">2026-04-20T13:32:18Z</dcterms:created>
  <dcterms:modified xsi:type="dcterms:W3CDTF">2026-05-12T14:14:42Z</dcterms:modified>
</cp:coreProperties>
</file>