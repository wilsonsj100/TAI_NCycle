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People\Wilson (Steph)\Compass N Cycle Experiment\Full Incub. Experiment\Manuscript\"/>
    </mc:Choice>
  </mc:AlternateContent>
  <xr:revisionPtr revIDLastSave="0" documentId="8_{724A31D5-516E-4A6E-AF44-FAD9B9A6829A}" xr6:coauthVersionLast="47" xr6:coauthVersionMax="47" xr10:uidLastSave="{00000000-0000-0000-0000-000000000000}"/>
  <bookViews>
    <workbookView xWindow="-120" yWindow="-120" windowWidth="29040" windowHeight="15840" xr2:uid="{F21D63E5-BE5A-4C9F-81CC-A7E0D82221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2" i="1"/>
  <c r="I13" i="1"/>
  <c r="I12" i="1"/>
  <c r="I11" i="1"/>
  <c r="I10" i="1"/>
  <c r="I9" i="1"/>
  <c r="I8" i="1"/>
  <c r="I7" i="1"/>
  <c r="I6" i="1"/>
  <c r="I5" i="1"/>
  <c r="I2" i="1"/>
  <c r="I4" i="1"/>
  <c r="I3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<sst xmlns="http://schemas.openxmlformats.org/spreadsheetml/2006/main" count="57" uniqueCount="13">
  <si>
    <t>Site</t>
  </si>
  <si>
    <t>transect_location</t>
  </si>
  <si>
    <t>SWH</t>
  </si>
  <si>
    <t>upland</t>
  </si>
  <si>
    <t>transition</t>
  </si>
  <si>
    <t>wetland</t>
  </si>
  <si>
    <t>GWI</t>
  </si>
  <si>
    <t>MSM</t>
  </si>
  <si>
    <t>GCW</t>
  </si>
  <si>
    <t>DNRA_Rate_nmoles_g_hr</t>
  </si>
  <si>
    <t>DNF_Rate_nmoles_g_hr</t>
  </si>
  <si>
    <t>max nmoles at end of incubation</t>
  </si>
  <si>
    <t>Total max nmoles utilized by DNF and DNRA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</si>
</sst>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0" fontId="0" fillId="4" borderId="0" xfId="0" applyFill="1"/>
    <xf numFmtId="0" fontId="0" fillId="5" borderId="0" xfId="0" applyFill="1"/>
    <xf numFmtId="2" fontId="0" fillId="4" borderId="0" xfId="0" applyNumberFormat="1" applyFill="1"/>
    <xf numFmtId="2" fontId="0" fillId="5" borderId="0" xfId="0" applyNumberFormat="1" applyFill="1"/>
    <xf numFmtId="0" fontId="0" fillId="6" borderId="0" xfId="0" applyFill="1"/>
    <xf numFmtId="2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E47CB-570E-41A4-B031-88297C0EC419}">
  <dimension ref="A1:K13"/>
  <sheetViews>
    <sheetView tabSelected="1" workbookViewId="0">
      <selection activeCell="I19" sqref="I19"/>
    </sheetView>
  </sheetViews>
  <sheetFormatPr defaultRowHeight="15" x14ac:dyDescent="0.25"/>
  <cols>
    <col min="3" max="3" width="24" bestFit="1" customWidth="1"/>
    <col min="4" max="4" width="30.5703125" bestFit="1" customWidth="1"/>
    <col min="8" max="8" width="22.5703125" bestFit="1" customWidth="1"/>
    <col min="9" max="9" width="30.5703125" bestFit="1" customWidth="1"/>
    <col min="11" max="11" width="40.7109375" bestFit="1" customWidth="1"/>
  </cols>
  <sheetData>
    <row r="1" spans="1:11" x14ac:dyDescent="0.25">
      <c r="A1" t="s">
        <v>0</v>
      </c>
      <c r="B1" t="s">
        <v>1</v>
      </c>
      <c r="C1" s="1" t="s">
        <v>9</v>
      </c>
      <c r="D1" s="5" t="s">
        <v>11</v>
      </c>
      <c r="F1" t="s">
        <v>0</v>
      </c>
      <c r="G1" t="s">
        <v>1</v>
      </c>
      <c r="H1" s="3" t="s">
        <v>10</v>
      </c>
      <c r="I1" s="6" t="s">
        <v>11</v>
      </c>
      <c r="K1" s="9" t="s">
        <v>12</v>
      </c>
    </row>
    <row r="2" spans="1:11" x14ac:dyDescent="0.25">
      <c r="A2" t="s">
        <v>2</v>
      </c>
      <c r="B2" t="s">
        <v>3</v>
      </c>
      <c r="C2" s="2">
        <v>0.36513299533978999</v>
      </c>
      <c r="D2" s="7">
        <f>C2*10</f>
        <v>3.6513299533978998</v>
      </c>
      <c r="F2" t="s">
        <v>2</v>
      </c>
      <c r="G2" t="s">
        <v>3</v>
      </c>
      <c r="H2" s="4">
        <v>9.0180222924119207</v>
      </c>
      <c r="I2" s="8">
        <f>H2*10</f>
        <v>90.180222924119207</v>
      </c>
      <c r="K2" s="10">
        <f>I2+D2</f>
        <v>93.831552877517112</v>
      </c>
    </row>
    <row r="3" spans="1:11" x14ac:dyDescent="0.25">
      <c r="A3" t="s">
        <v>2</v>
      </c>
      <c r="B3" t="s">
        <v>4</v>
      </c>
      <c r="C3" s="2">
        <v>4.8915177245904697</v>
      </c>
      <c r="D3" s="7">
        <f>C3*4</f>
        <v>19.566070898361879</v>
      </c>
      <c r="F3" t="s">
        <v>2</v>
      </c>
      <c r="G3" t="s">
        <v>4</v>
      </c>
      <c r="H3" s="4">
        <v>11.9439418769095</v>
      </c>
      <c r="I3" s="8">
        <f>H3*4</f>
        <v>47.775767507638001</v>
      </c>
      <c r="K3" s="10">
        <f t="shared" ref="K3:K13" si="0">I3+D3</f>
        <v>67.34183840599988</v>
      </c>
    </row>
    <row r="4" spans="1:11" x14ac:dyDescent="0.25">
      <c r="A4" t="s">
        <v>2</v>
      </c>
      <c r="B4" t="s">
        <v>5</v>
      </c>
      <c r="C4" s="2">
        <v>2.9706004114059699</v>
      </c>
      <c r="D4" s="7">
        <f>C4*4</f>
        <v>11.882401645623879</v>
      </c>
      <c r="F4" t="s">
        <v>2</v>
      </c>
      <c r="G4" t="s">
        <v>5</v>
      </c>
      <c r="H4" s="4">
        <v>6.4890656044000004</v>
      </c>
      <c r="I4" s="8">
        <f>H4*4</f>
        <v>25.956262417600001</v>
      </c>
      <c r="K4" s="10">
        <f t="shared" si="0"/>
        <v>37.838664063223881</v>
      </c>
    </row>
    <row r="5" spans="1:11" x14ac:dyDescent="0.25">
      <c r="A5" t="s">
        <v>6</v>
      </c>
      <c r="B5" t="s">
        <v>3</v>
      </c>
      <c r="C5" s="2">
        <v>0.92866674797747795</v>
      </c>
      <c r="D5" s="7">
        <f>C5*10</f>
        <v>9.2866674797747795</v>
      </c>
      <c r="F5" t="s">
        <v>6</v>
      </c>
      <c r="G5" t="s">
        <v>3</v>
      </c>
      <c r="H5" s="4">
        <v>0.31944063772635101</v>
      </c>
      <c r="I5" s="8">
        <f>H5*10</f>
        <v>3.1944063772635101</v>
      </c>
      <c r="K5" s="10">
        <f t="shared" si="0"/>
        <v>12.48107385703829</v>
      </c>
    </row>
    <row r="6" spans="1:11" x14ac:dyDescent="0.25">
      <c r="A6" t="s">
        <v>6</v>
      </c>
      <c r="B6" t="s">
        <v>4</v>
      </c>
      <c r="C6" s="2">
        <v>4.7516305751666703</v>
      </c>
      <c r="D6" s="7">
        <f>C6*4</f>
        <v>19.006522300666681</v>
      </c>
      <c r="F6" t="s">
        <v>6</v>
      </c>
      <c r="G6" t="s">
        <v>4</v>
      </c>
      <c r="H6" s="4">
        <v>12.370351582625</v>
      </c>
      <c r="I6" s="8">
        <f>H6*4</f>
        <v>49.4814063305</v>
      </c>
      <c r="K6" s="10">
        <f t="shared" si="0"/>
        <v>68.487928631166682</v>
      </c>
    </row>
    <row r="7" spans="1:11" x14ac:dyDescent="0.25">
      <c r="A7" t="s">
        <v>6</v>
      </c>
      <c r="B7" t="s">
        <v>5</v>
      </c>
      <c r="C7" s="2">
        <v>2.2366836862500001</v>
      </c>
      <c r="D7" s="7">
        <f>C7*4</f>
        <v>8.9467347450000005</v>
      </c>
      <c r="F7" t="s">
        <v>6</v>
      </c>
      <c r="G7" t="s">
        <v>5</v>
      </c>
      <c r="H7" s="4">
        <v>16.68271062825</v>
      </c>
      <c r="I7" s="8">
        <f>H7*4</f>
        <v>66.730842512999999</v>
      </c>
      <c r="K7" s="10">
        <f t="shared" si="0"/>
        <v>75.677577257999999</v>
      </c>
    </row>
    <row r="8" spans="1:11" x14ac:dyDescent="0.25">
      <c r="A8" t="s">
        <v>7</v>
      </c>
      <c r="B8" t="s">
        <v>3</v>
      </c>
      <c r="C8" s="2">
        <v>1.1642327735563101</v>
      </c>
      <c r="D8" s="7">
        <f>C8*10</f>
        <v>11.6423277355631</v>
      </c>
      <c r="F8" t="s">
        <v>7</v>
      </c>
      <c r="G8" t="s">
        <v>3</v>
      </c>
      <c r="H8" s="4">
        <v>1.68032276743422</v>
      </c>
      <c r="I8" s="8">
        <f>H8*10</f>
        <v>16.8032276743422</v>
      </c>
      <c r="K8" s="10">
        <f t="shared" si="0"/>
        <v>28.4455554099053</v>
      </c>
    </row>
    <row r="9" spans="1:11" x14ac:dyDescent="0.25">
      <c r="A9" t="s">
        <v>7</v>
      </c>
      <c r="B9" t="s">
        <v>4</v>
      </c>
      <c r="C9" s="2">
        <v>1.749173394</v>
      </c>
      <c r="D9" s="7">
        <f>C9*4</f>
        <v>6.9966935760000002</v>
      </c>
      <c r="F9" t="s">
        <v>7</v>
      </c>
      <c r="G9" t="s">
        <v>4</v>
      </c>
      <c r="H9" s="4">
        <v>20.713693331375001</v>
      </c>
      <c r="I9" s="8">
        <f>H9*4</f>
        <v>82.854773325500005</v>
      </c>
      <c r="K9" s="10">
        <f t="shared" si="0"/>
        <v>89.851466901500004</v>
      </c>
    </row>
    <row r="10" spans="1:11" x14ac:dyDescent="0.25">
      <c r="A10" t="s">
        <v>7</v>
      </c>
      <c r="B10" t="s">
        <v>5</v>
      </c>
      <c r="C10" s="2">
        <v>2.2614645293333302</v>
      </c>
      <c r="D10" s="7">
        <f>C10*4</f>
        <v>9.0458581173333208</v>
      </c>
      <c r="F10" t="s">
        <v>7</v>
      </c>
      <c r="G10" t="s">
        <v>5</v>
      </c>
      <c r="H10" s="4">
        <v>1.8201058489583299</v>
      </c>
      <c r="I10" s="8">
        <f>H10*4</f>
        <v>7.2804233958333198</v>
      </c>
      <c r="K10" s="10">
        <f t="shared" si="0"/>
        <v>16.326281513166641</v>
      </c>
    </row>
    <row r="11" spans="1:11" x14ac:dyDescent="0.25">
      <c r="A11" t="s">
        <v>8</v>
      </c>
      <c r="B11" t="s">
        <v>3</v>
      </c>
      <c r="C11" s="2">
        <v>0.59246895163063096</v>
      </c>
      <c r="D11" s="7">
        <f>C11*10</f>
        <v>5.9246895163063096</v>
      </c>
      <c r="F11" t="s">
        <v>8</v>
      </c>
      <c r="G11" t="s">
        <v>3</v>
      </c>
      <c r="H11" s="4">
        <v>0.21964765236599099</v>
      </c>
      <c r="I11" s="8">
        <f>H11*10</f>
        <v>2.1964765236599098</v>
      </c>
      <c r="K11" s="10">
        <f t="shared" si="0"/>
        <v>8.1211660399662193</v>
      </c>
    </row>
    <row r="12" spans="1:11" x14ac:dyDescent="0.25">
      <c r="A12" t="s">
        <v>8</v>
      </c>
      <c r="B12" t="s">
        <v>4</v>
      </c>
      <c r="C12" s="2">
        <v>0.56330301816666595</v>
      </c>
      <c r="D12" s="7">
        <f>C12*4</f>
        <v>2.2532120726666638</v>
      </c>
      <c r="F12" t="s">
        <v>8</v>
      </c>
      <c r="G12" t="s">
        <v>4</v>
      </c>
      <c r="H12" s="4">
        <v>17.728954403232098</v>
      </c>
      <c r="I12" s="8">
        <f>H12*4</f>
        <v>70.915817612928393</v>
      </c>
      <c r="K12" s="10">
        <f t="shared" si="0"/>
        <v>73.169029685595063</v>
      </c>
    </row>
    <row r="13" spans="1:11" x14ac:dyDescent="0.25">
      <c r="A13" t="s">
        <v>8</v>
      </c>
      <c r="B13" t="s">
        <v>5</v>
      </c>
      <c r="C13" s="2">
        <v>2.71260481591667</v>
      </c>
      <c r="D13" s="7">
        <f>C13*4</f>
        <v>10.85041926366668</v>
      </c>
      <c r="F13" t="s">
        <v>8</v>
      </c>
      <c r="G13" t="s">
        <v>5</v>
      </c>
      <c r="H13" s="4">
        <v>1.5164218577083299</v>
      </c>
      <c r="I13" s="8">
        <f>H13*4</f>
        <v>6.0656874308333197</v>
      </c>
      <c r="K13" s="10">
        <f t="shared" si="0"/>
        <v>16.916106694500002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Stephanie</dc:creator>
  <cp:lastModifiedBy>Wilson, Stephanie</cp:lastModifiedBy>
  <dcterms:created xsi:type="dcterms:W3CDTF">2024-04-02T14:39:40Z</dcterms:created>
  <dcterms:modified xsi:type="dcterms:W3CDTF">2024-04-02T15:41:10Z</dcterms:modified>
</cp:coreProperties>
</file>