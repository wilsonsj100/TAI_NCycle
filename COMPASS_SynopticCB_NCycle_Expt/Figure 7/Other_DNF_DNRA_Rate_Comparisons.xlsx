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Ex3.xml" ContentType="application/vnd.ms-office.chartex+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S:\Biogeochemistry\People\Wilson (Steph)\Compass N Cycle Experiment\Full Incub. Experiment\Manuscript\"/>
    </mc:Choice>
  </mc:AlternateContent>
  <xr:revisionPtr revIDLastSave="0" documentId="13_ncr:1_{3FCD8CAA-B440-46C3-A3C0-FA2C5A8A35F0}" xr6:coauthVersionLast="47" xr6:coauthVersionMax="47" xr10:uidLastSave="{00000000-0000-0000-0000-000000000000}"/>
  <bookViews>
    <workbookView xWindow="28680" yWindow="-120" windowWidth="24240" windowHeight="17640" xr2:uid="{BCA9D0AE-0943-4445-BE23-4E02D315AA3D}"/>
  </bookViews>
  <sheets>
    <sheet name="UP DNF" sheetId="1" r:id="rId1"/>
    <sheet name=" WC DNF" sheetId="3" r:id="rId2"/>
    <sheet name="UP DNRA" sheetId="2" r:id="rId3"/>
    <sheet name="WC DNRA" sheetId="5" r:id="rId4"/>
    <sheet name="Table S5" sheetId="6" r:id="rId5"/>
    <sheet name="Table S6" sheetId="7" r:id="rId6"/>
    <sheet name="Other" sheetId="4" r:id="rId7"/>
    <sheet name="Box and whisker" sheetId="8" r:id="rId8"/>
    <sheet name="calc rates for nmol ghr" sheetId="9" r:id="rId9"/>
    <sheet name="For paper" sheetId="11" r:id="rId10"/>
  </sheets>
  <definedNames>
    <definedName name="_xlchart.v1.0" hidden="1">'Box and whisker'!$C$4:$C$42</definedName>
    <definedName name="_xlchart.v1.1" hidden="1">'Box and whisker'!$E$4:$E$42</definedName>
    <definedName name="_xlchart.v1.2" hidden="1">('Box and whisker'!$C$4:$C$14,'Box and whisker'!$C$19:$C$29,'Box and whisker'!$C$32:$C$34)</definedName>
    <definedName name="_xlchart.v1.3" hidden="1">('Box and whisker'!$D$4:$D$14,'Box and whisker'!$D$19:$D$29,'Box and whisker'!$D$32:$D$34)</definedName>
    <definedName name="_xlchart.v1.4" hidden="1">'For paper'!$B$9:$B$36</definedName>
    <definedName name="_xlchart.v1.5" hidden="1">'For paper'!$F$9:$F$36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 i="8" l="1"/>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 i="8"/>
  <c r="M25" i="9"/>
  <c r="M26" i="9"/>
  <c r="M27" i="9"/>
  <c r="K25" i="9"/>
  <c r="K26" i="9"/>
  <c r="K27" i="9"/>
  <c r="I23" i="9"/>
  <c r="M23" i="9" s="1"/>
  <c r="I24" i="9"/>
  <c r="K24" i="9" s="1"/>
  <c r="I25" i="9"/>
  <c r="I26" i="9"/>
  <c r="I27" i="9"/>
  <c r="K23" i="9"/>
  <c r="M22" i="9"/>
  <c r="K22" i="9"/>
  <c r="I22" i="9"/>
  <c r="E12" i="9"/>
  <c r="E10" i="9"/>
  <c r="E9" i="9"/>
  <c r="E8" i="9"/>
  <c r="E7" i="9"/>
  <c r="M24" i="9" l="1"/>
  <c r="E4" i="9"/>
  <c r="E3" i="9"/>
  <c r="E8" i="1"/>
  <c r="E3" i="2"/>
  <c r="E7" i="5"/>
  <c r="E8" i="5"/>
  <c r="F18" i="3"/>
  <c r="F19" i="3"/>
  <c r="E6" i="5"/>
  <c r="F17" i="3"/>
  <c r="E5" i="5"/>
  <c r="E4" i="5"/>
  <c r="E3" i="5"/>
  <c r="E2" i="5"/>
  <c r="E4" i="2"/>
  <c r="E5" i="2"/>
  <c r="E6" i="2"/>
  <c r="E7" i="2"/>
  <c r="E2" i="2"/>
  <c r="F14" i="3"/>
  <c r="F13" i="3"/>
  <c r="F9" i="3"/>
  <c r="F10" i="3"/>
  <c r="F8" i="3"/>
  <c r="F7" i="3"/>
  <c r="F6" i="3"/>
  <c r="F3" i="3"/>
  <c r="F2" i="3"/>
  <c r="E2" i="1"/>
  <c r="E9" i="1" l="1"/>
  <c r="E7" i="1"/>
  <c r="E12" i="1"/>
  <c r="E11" i="1"/>
  <c r="E10" i="1"/>
  <c r="E6" i="1"/>
  <c r="E3" i="1"/>
  <c r="E4" i="1"/>
  <c r="E5" i="1"/>
</calcChain>
</file>

<file path=xl/sharedStrings.xml><?xml version="1.0" encoding="utf-8"?>
<sst xmlns="http://schemas.openxmlformats.org/spreadsheetml/2006/main" count="1139" uniqueCount="239">
  <si>
    <t>Rates</t>
  </si>
  <si>
    <t>Units</t>
  </si>
  <si>
    <t>In text Citation</t>
  </si>
  <si>
    <t>Link</t>
  </si>
  <si>
    <t>mg N kg-1 h-1</t>
  </si>
  <si>
    <t>Soil Info</t>
  </si>
  <si>
    <t>https://pdf.sciencedirectassets.com/271195/1-s2.0-S0038071709X00118/1-s2.0-S0038071709003423/main.pdf?X-Amz-Security-Token=IQoJb3JpZ2luX2VjEEYaCXVzLWVhc3QtMSJHMEUCIQCFp1jH8X3fw2Yg5dGTOV5WvdrOq2wctLIhElsuAlnhjQIgYX1YGQdnFLGCaxMV25NRHSsgn6YPGXXsxLvpTuewJmkqvAUIvv%2F%2F%2F%2F%2F%2F%2F%2F%2F%2FARAFGgwwNTkwMDM1NDY4NjUiDELyZGl0AZkvzxTkGCqQBZpx5rg6oqBkGpZGvZztHyKvF5CGW0jBGc%2F%2FiFPeAnyZrxM7FhZ3RwFXUqzuJnVN98MM2A2PbvQBdMU6SCBeP6EERlnhU%2BbCD8GjDcu4vT4JmRT81hqdLjol%2FgwX0ccG7q8jnWyTsbMAi96A8u0nbSHOgPf5P1hoSydH3ytci5BamGEPnXfNQtCzsglzjV5RkRK33JlguCmwZIkijNVYCr3RgPRQPZImpYT7PcGax6Of5UH2ROsJ9BUy1lFvfPxGWmYPJmdNiGpB40FHO0Ci8pl6d887G1APMwuWgHNSvEn3Qs36RpZWMhv33PXhVB80hZ46ppNPO%2F%2B0D3%2B3VR9mBPsu9UjAQ8cdTJRYPpT1lznOZGnqp9Xa1%2Fs9ybpZkqg0qkzJD8OFZ44dNwIcH%2Bd49t4Pgp17rHjmurXwJT2FaoKvaQ5A7AopHaU%2BxagMX%2BrferrHmoYK5hWUZVLMF27lGVwjTC1UI5q03QSmI0b%2FQStJBt%2BHituNJ1fEPambQfbBKqysJuUz%2F7EPO0H%2B0DEJfCFy7LXeUZweDNyr3hz2n%2F%2FMl59RlieHyiqa8dGc2sM8RP7Up88M0%2BItEFkHx6CNaY1Sez8zF47Ny4mq47BBQCvkYsL12%2B1UNwGTEppUukL8qavBd41mXQSW5BzEDMx2PAUSel5tzRLu0lq1k5YeyjbsdpLMkTTyLWcDF0p9fMyRZz50eDrYvCY0kfe6o6nWaoKtHQ8qjroVln6nUkqD2GYv6QO32gzHTrXPmpQxZMrptWQSlFhn35%2FniLyNg3nSpMRoAxl2iYhcDKgnlQR0pt%2B5FGt4vJPueg6Qj%2FpWhPiQ1W2yFCSzyWNx%2FFM4f1nNqoDb9UaFlo3QEg1E%2FL%2FjM3xxMJ2KgawGOrEBdsNFcXLzDvSudkwp1pBN7plX9j%2BjI90W8Yg1wJEpdT3CmdD86L%2BrTGg2G4jNGRO8G7WrLpQ6FHXZSSfH5kCV1trmqls6axNPVdFhl6WBKUho2NsEMnIEdSfygb7LHH829UwwuPW%2FzGni5dnjV%2Ft7PVd0VpmNVug28IAWSbpOzIyux8VmsD4bdi5IV0wzJwK21QxDhbZqdB2Kev3kogGymjg8gXUlh2jAOpX0cUn%2Fs7Dg&amp;X-Amz-Algorithm=AWS4-HMAC-SHA256&amp;X-Amz-Date=20231218T135938Z&amp;X-Amz-SignedHeaders=host&amp;X-Amz-Expires=300&amp;X-Amz-Credential=ASIAQ3PHCVTYZVPN6XCS%2F20231218%2Fus-east-1%2Fs3%2Faws4_request&amp;X-Amz-Signature=6b4ee5caffb2b92d48840628e9e10c790742d2e68988ee1232a1e8208adcc6ac&amp;hash=7fb83994f5bd9640a4945691b2e6b595c47de6ff597ad7569ebac6b03044f9bd&amp;host=68042c943591013ac2b2430a89b270f6af2c76d8dfd086a07176afe7c76c2c61&amp;pii=S0038071709003423&amp;tid=spdf-ebc07d47-e9d4-4980-9886-dfdf2c2febaa&amp;sid=62b31bf55696a849458916f2668d577b3191gxrqa&amp;type=client&amp;tsoh=d3d3LnNjaWVuY2VkaXJlY3QuY29t&amp;ua=0f135a51515001055751&amp;rr=8377ed702cc517b5&amp;cc=us</t>
  </si>
  <si>
    <t>Zhang et al 2009</t>
  </si>
  <si>
    <t>Haplocryolls</t>
  </si>
  <si>
    <t>Albaquic Hapludalfs</t>
  </si>
  <si>
    <t>Haplustalfs</t>
  </si>
  <si>
    <t>Aquultic Hapludalfs</t>
  </si>
  <si>
    <t>Hapludults</t>
  </si>
  <si>
    <t>Paleudults</t>
  </si>
  <si>
    <t>Temperate Forest Soil: China</t>
  </si>
  <si>
    <t>Subtropical Forest Soil: China</t>
  </si>
  <si>
    <t>Notes</t>
  </si>
  <si>
    <t xml:space="preserve">Too wet </t>
  </si>
  <si>
    <t>Tropical Forest Soil: China</t>
  </si>
  <si>
    <t>ug N cm-2 d-1</t>
  </si>
  <si>
    <t>Kroeze et al 1989</t>
  </si>
  <si>
    <t>https://library.wur.nl/ojs/index.php/njas/article/view/16619/16033</t>
  </si>
  <si>
    <t xml:space="preserve">avg. 3 to 6 </t>
  </si>
  <si>
    <t>Pine forest soils (Dutch)</t>
  </si>
  <si>
    <t>https://www.sciencedirect.com/science/article/abs/pii/0038071789900539</t>
  </si>
  <si>
    <t>Groffman &amp; Tiedje 1989</t>
  </si>
  <si>
    <t>Forest Soils: Michigan USA</t>
  </si>
  <si>
    <t>Well drained sandy soil</t>
  </si>
  <si>
    <t>Not well drained clay loam</t>
  </si>
  <si>
    <t>kg N ha-1 yr-1</t>
  </si>
  <si>
    <t>mg N2 m-2 yr-1</t>
  </si>
  <si>
    <t>https://d1wqtxts1xzle7.cloudfront.net/67920164/0378-1127_2891_2990196-320210708-3683-17lzyws-libre.pdf?1625751356=&amp;response-content-disposition=inline%3B+filename%3DDenitrification_in_wet_forest_soil_syste.pdf&amp;Expires=1702912745&amp;Signature=ao9Ip0c1Ik0bpSeCfYZ1co3oMMvCBi9iGaNPofLxteGsWoU3rkhbZeDbbUOFyQowQDL2G6NlrgutxDI8KKu8qlftnMufz80UQMjFeVRPWOmG1wXpk-rmOv4InGnIVWWBjN1b~G6GHEyz~9vrfcPhyzT78Xk2HxbCf-9kIaWKp8ALqNfmb4MIomgoJ4aRCUK-Fg7BNyq5dccJZmWWKHHqaVtc6PyINi657qJlHHuLx3Z7FDFUq51~z6xndqHaqPGVQ8COykdSn3PffRlx8x--j~RtIkNJ~iPFmBklT0bemYv4zAvDN2OlKnjQ5MFnzpz0u5sg5ZFfB~brrXG73-siPg__&amp;Key-Pair-Id=APKAJLOHF5GGSLRBV4ZA</t>
  </si>
  <si>
    <t>Struwe &amp; Kjolle 1991</t>
  </si>
  <si>
    <t>Wet Forest Soils (Amsterdam?)</t>
  </si>
  <si>
    <t xml:space="preserve">Wet Humic Soils (ash &amp; alder) </t>
  </si>
  <si>
    <t xml:space="preserve">ug N2O g-1 hr-1 </t>
  </si>
  <si>
    <t>Marton et al., 2012</t>
  </si>
  <si>
    <t>https://link.springer.com/article/10.1007/s13157-012-0270-3</t>
  </si>
  <si>
    <t>tidal forests</t>
  </si>
  <si>
    <t>Floodplain Forest (Georgia USA)</t>
  </si>
  <si>
    <t>Barton et al., 1999</t>
  </si>
  <si>
    <t>Review of forest soils</t>
  </si>
  <si>
    <t>https://www.publish.csiro.au/sr/SR99009</t>
  </si>
  <si>
    <t>nmoles N g-1 h-1</t>
  </si>
  <si>
    <t>forest soils (&lt;1)</t>
  </si>
  <si>
    <t>umol N m-2 d-1</t>
  </si>
  <si>
    <t>Tobias, et al., 2001</t>
  </si>
  <si>
    <t>https://www.int-res.com/articles/meps/210/m210p025.pdf</t>
  </si>
  <si>
    <t>VA Marsh</t>
  </si>
  <si>
    <t>mmol N m–2 h–1</t>
  </si>
  <si>
    <t>https://www.jstor.org/stable/pdf/1352322.pdf?casa_token=ZSN3lT4JQ2AAAAAA:SeIwgMr4Amyh29keSqD3WL_VcjzzzG_7M9yX6UCLNYQtL5tJl5Vierloj-HVFws0idOoM7pYeGbadieDVbWsP2NXYzhjhsLCvr6vYomFpMpcJC2d6R3x</t>
  </si>
  <si>
    <t>Thompson et al., 1995</t>
  </si>
  <si>
    <t>Natural Marsh</t>
  </si>
  <si>
    <t>Peat Marsh</t>
  </si>
  <si>
    <t>± 74.5 µmol N m− 2 h− 1</t>
  </si>
  <si>
    <t>Juncus Marsh</t>
  </si>
  <si>
    <t>Spartina Marsh</t>
  </si>
  <si>
    <t>± 48.0 µmol N m− 2 h− 1</t>
  </si>
  <si>
    <t>https://link.springer.com/article/10.1007/s13157-021-01423-8</t>
  </si>
  <si>
    <t>Mason et al., 2021</t>
  </si>
  <si>
    <t>3–6 mg N h1 m2</t>
  </si>
  <si>
    <t>mg N h-1 m-2</t>
  </si>
  <si>
    <t xml:space="preserve">Spartina Alterniflora </t>
  </si>
  <si>
    <t>15–36 mg N h1 m2)</t>
  </si>
  <si>
    <t>Spartina patens</t>
  </si>
  <si>
    <t>16–96 mg N h1 m2</t>
  </si>
  <si>
    <t>Phragmites australis</t>
  </si>
  <si>
    <t>Ooi et al., 2021</t>
  </si>
  <si>
    <t>https://esajournals.onlinelibrary.wiley.com/doi/pdf/10.1002/eap.2630</t>
  </si>
  <si>
    <t>4.95 to 654 mg N2O kg-1 d-1</t>
  </si>
  <si>
    <t>Fresh marsh</t>
  </si>
  <si>
    <t>Salt Marsh</t>
  </si>
  <si>
    <t xml:space="preserve">1.09 to 615 mg N2O kg-1 d-1 </t>
  </si>
  <si>
    <t>https://acsess.onlinelibrary.wiley.com/doi/pdfdirect/10.2136/sssaj2015.07.0265?casa_token=cKhT75ZJohYAAAAA:ziuxtxB2Sl4T8AWTvjCZykqqmqTV5AQURc0RPlLCkVk1AT2wgKzHjzquDSFwEXBPPkLeKPLS_o41xeM</t>
  </si>
  <si>
    <t>Marks et al., 2016</t>
  </si>
  <si>
    <t>676 ± 497 μmol N2 m−2 h−1</t>
  </si>
  <si>
    <t>umol N m-2 h-1</t>
  </si>
  <si>
    <t>winter marsh</t>
  </si>
  <si>
    <t xml:space="preserve">summer marsh </t>
  </si>
  <si>
    <t xml:space="preserve">151 ± 24 μmol N2 m−2 h−1 </t>
  </si>
  <si>
    <t>Sousa et al., 2012</t>
  </si>
  <si>
    <t>https://docs.google.com/document/d/1DhGvY6BVEmCDH7G2rFiCV9voaakpfiR9/edit</t>
  </si>
  <si>
    <t>Site</t>
  </si>
  <si>
    <t>Transect Location</t>
  </si>
  <si>
    <t>DNF Rate umoles/m2/d</t>
  </si>
  <si>
    <t>se</t>
  </si>
  <si>
    <t>SWH</t>
  </si>
  <si>
    <t>upland</t>
  </si>
  <si>
    <t>GWI</t>
  </si>
  <si>
    <t>MSM</t>
  </si>
  <si>
    <t>GCW</t>
  </si>
  <si>
    <t xml:space="preserve">DNF Rate </t>
  </si>
  <si>
    <t>umoles/m2/d</t>
  </si>
  <si>
    <t>DNF_Rate_nmoles_g_hr</t>
  </si>
  <si>
    <t>se_nmoles_g_hr</t>
  </si>
  <si>
    <t>wetland</t>
  </si>
  <si>
    <t>new england</t>
  </si>
  <si>
    <t>North Carolina, USA</t>
  </si>
  <si>
    <t xml:space="preserve">Dauphin Island </t>
  </si>
  <si>
    <t>transition</t>
  </si>
  <si>
    <t xml:space="preserve"> mg N kg-1 d-1</t>
  </si>
  <si>
    <t>0.24 ± 0.03</t>
  </si>
  <si>
    <t>Review of DNRA: FORESTs</t>
  </si>
  <si>
    <t>Cheng et al., 2022</t>
  </si>
  <si>
    <t>https://pubs.acs.org/doi/abs/10.1021/acs.est.1c07997</t>
  </si>
  <si>
    <t>ug N g-1 d-1</t>
  </si>
  <si>
    <t xml:space="preserve">Citation OG </t>
  </si>
  <si>
    <t>4c</t>
  </si>
  <si>
    <t>Tietema &amp; van Dam (1996)</t>
  </si>
  <si>
    <t>Staelens et al. (2011)</t>
  </si>
  <si>
    <t>Zhang et al. (2011b)</t>
  </si>
  <si>
    <t>https://www.sciencedirect.com/science/article/abs/pii/0038071795001778</t>
  </si>
  <si>
    <t>https://link.springer.com/article/10.1007/s11104-010-0706-6</t>
  </si>
  <si>
    <t>Pine/Douglis Fir Forest</t>
  </si>
  <si>
    <t>Pine Forest</t>
  </si>
  <si>
    <t xml:space="preserve">Various Forest </t>
  </si>
  <si>
    <t xml:space="preserve"> 0.01-0.25</t>
  </si>
  <si>
    <t>t +/- 0.001</t>
  </si>
  <si>
    <t>0.01 - 0.106</t>
  </si>
  <si>
    <t>humid tropical forest</t>
  </si>
  <si>
    <t>0.6 μg·g−1·d−1</t>
  </si>
  <si>
    <t>Silver et al., 2001</t>
  </si>
  <si>
    <t>https://esajournals.onlinelibrary.wiley.com/doi/abs/10.1890/0012-9658%282001%29082%5B2410%3ADNRTAI%5D2.0.CO%3B2?casa_token=51CYhVXtFt0AAAAA%3AFdj8FpVT4hpO7z-hxWCN7atWuAn5MnxEH-w0GcsEgUUIKfk7kTuJkY7A-Jfgu5LtTXR1Ahj8dymb-Zs</t>
  </si>
  <si>
    <t>transect_location</t>
  </si>
  <si>
    <t>DNRA_Rate_nmoles_g_hr</t>
  </si>
  <si>
    <t>nmoles_g_hr</t>
  </si>
  <si>
    <t>0.018-0.497 mg N kg-1 dry soil d-</t>
  </si>
  <si>
    <t>China</t>
  </si>
  <si>
    <t>Liu et al., 2016</t>
  </si>
  <si>
    <t>https://www.scielo.cl/scielo.php?pid=S0718-95162016000200006&amp;script=sci_arttext</t>
  </si>
  <si>
    <t>nmol g-1 h-1</t>
  </si>
  <si>
    <t>nmols g-1 h-1</t>
  </si>
  <si>
    <t>Chongming Island</t>
  </si>
  <si>
    <t>Marsh</t>
  </si>
  <si>
    <t>Zheng et al., 2016</t>
  </si>
  <si>
    <t>https://www.nature.com/articles/srep21338</t>
  </si>
  <si>
    <t>μmol N m-2 h-1</t>
  </si>
  <si>
    <t>Plum Island Sound Marsh</t>
  </si>
  <si>
    <t>US MA</t>
  </si>
  <si>
    <t>Koop-Jakobsen &amp; Giblin 2010</t>
  </si>
  <si>
    <t>DNRA Rate umoles/m2/d</t>
  </si>
  <si>
    <t>umoles N m-2 d-1</t>
  </si>
  <si>
    <t>Upreti et al., 2022</t>
  </si>
  <si>
    <t>https://pdf.sciencedirectassets.com/271800/1-s2.0-S0048969722X00065/1-s2.0-S0048969722000316/am.pdf?X-Amz-Security-Token=IQoJb3JpZ2luX2VjEA8aCXVzLWVhc3QtMSJIMEYCIQD7mxVPQSqbKfNeDZ3sfBeYADKnxP8prnAev3pQtSGWoQIhAPBd%2FGuHbJPcVdkn5kM7tOI5%2Fja8uRRd%2BYGr7HpRsycnKrwFCJf%2F%2F%2F%2F%2F%2F%2F%2F%2F%2FwEQBRoMMDU5MDAzNTQ2ODY1Igwh%2BM44244z%2BLR%2F0RwqkAXiN0uJmAE48Pz9KODH7ozWW%2FjJ2OXx%2B24SoqkFNqLnlzNaVVYI0oK%2FmyIgXoU8NRWmwMggvK4Wpz4LUIgg9H%2FSEyoEsgeOSVG3HxkRZZEj4XQPdQkK9MFeBfPNV%2B3CfBE2YYUEUu65Y4mat1GwD1vz4tRsJ6FezgX0rr%2Fjig9utCfisEtvSmvBqfcMyYxiCI%2FPfjEx8l5BTryznwizVVEcnJLjbHd9CL1qG02GI8708ZfoCZiULCdMTKVNtH2mJFXKzVv7ODh89NuN7z%2F9C9s60fCAdVCA1Fh0O3jffXWsNIqwFtQ9W5dgfwYAmvQ4RFHrLsonu0moF3YEGRcNHdJ5JpVLRgZcoCX6B%2FglJ58UhIx%2FdWMna0Zm7Dsmpe3KEhNSs5Cm4F80p6Hjo5iNZrMS9WwxvPzXBC03e4h6MSFVFfFC5yv3gGoW2F82n4T5god890lU0oiQKlH7TpuoU6923WE7l43hYzf7vjaOsSiwdUZUyAaZwiqHA0%2FFfQndIA5QchAW96GCHepUYZVU46CrTvHR1uy9IhkqEUgwencGez%2BrQhhWoxJlZGyC16W0U4igwW7Du1A%2BTm%2F%2BeDSkzA7hmKW%2B%2B5x5GvurmWtx3rh%2BUsrXy5MTj4%2FvdNRjM4nvwaCQ7th8YxH9CoFqy6EJvBsJ6N3ck4OWjrZPNiMWfPqigy0k8VK7Ep69omCfLjZe3zV%2BSVCS3kaMdZVrAvtPLXpq1qwURALJW9ZEQHzT1A5n%2FuZGb789yY924YFOh227uocdRFXAA5idy%2BThEOfRqx%2BYy4c%2BPNvl4BV%2BaR9VnQuLyICOIRkEqXWlY6RH%2FLm3Hy5b07XPLOixe5syYCkJfAet%2Bar48C7W62kQIqIkHnP7gDC1n62sBjqwAWNqD8A7NsN%2FIEiqV9cMuVyFS2lG7pVJcxCJiOCMGZIDh05lYFZo9pMjJM%2Fc0ZhVZMvgKL9%2Bf2XWnt9PjFzse2KFVaxmp%2BWhuelGJWT53S50d6RQw2nyUB%2BHJezavGsv%2B13N8Fj9DOqdnKyRHVbpAsEA45BjQyRFd68h%2F%2FK1dlqoZFshTHK3uRMv17wBfe8zHnkkJg26dbKQICqA56YIsgt4SFForIML%2FsnIcrfoEBYJ&amp;X-Amz-Algorithm=AWS4-HMAC-SHA256&amp;X-Amz-Date=20231226T225338Z&amp;X-Amz-SignedHeaders=host&amp;X-Amz-Expires=300&amp;X-Amz-Credential=ASIAQ3PHCVTYXQB454SF%2F20231226%2Fus-east-1%2Fs3%2Faws4_request&amp;X-Amz-Signature=5bbf7b4539d542d96a625767e08a0f6d55dffa084e6ed6494556b99ba9e756b5&amp;hash=56ca271b5b0dd7685e07673d3015bb764cc03639947bf97b0c86ef361fa451b3&amp;host=68042c943591013ac2b2430a89b270f6af2c76d8dfd086a07176afe7c76c2c61&amp;pii=S0048969722000316&amp;tid=pdf-d2cc259e-6fc1-41d8-a2fc-8de7f3112f43&amp;sid=8b0f03868a4782458e3a0309fdb27d1af434gxrqa&amp;type=client</t>
  </si>
  <si>
    <t>umol N m-2 d-2</t>
  </si>
  <si>
    <t>Mississippi river delta</t>
  </si>
  <si>
    <t xml:space="preserve">Wetland/delta </t>
  </si>
  <si>
    <t xml:space="preserve">Wetalnd Delta </t>
  </si>
  <si>
    <t>Mississippi river delta and marsh</t>
  </si>
  <si>
    <t>Mississippi</t>
  </si>
  <si>
    <t xml:space="preserve">comment for under the table: Rate comparison across all zones is complicated by the variety of methods available for measuring denitrification (cite), it is difficult to find consistent methodology and therefore we are comparing rates that are the result of acetylene inhibition, whole core incubations, and slurries here. </t>
  </si>
  <si>
    <t xml:space="preserve">Location along TAI </t>
  </si>
  <si>
    <t>Denitrification Rate</t>
  </si>
  <si>
    <t xml:space="preserve">Source </t>
  </si>
  <si>
    <t>Location</t>
  </si>
  <si>
    <t>Upland</t>
  </si>
  <si>
    <t>Wetland</t>
  </si>
  <si>
    <t>York River Marsh, Virginia USA</t>
  </si>
  <si>
    <t>Natural Marsh, North Carolina, USA</t>
  </si>
  <si>
    <t>Peat Marsh, North Carolina, USA</t>
  </si>
  <si>
    <t>Juncus Marsh, Dauphin Island, USA</t>
  </si>
  <si>
    <t>Spartina Marsh, Dauphin Island, USA</t>
  </si>
  <si>
    <t>Spartina Alterniflora, New England, USA</t>
  </si>
  <si>
    <t>Spartina patens, New England, USA</t>
  </si>
  <si>
    <t>Phragmites australis, New England, USA</t>
  </si>
  <si>
    <t>Marsh, Plum Island Sound, USA</t>
  </si>
  <si>
    <t xml:space="preserve">Wetland Delta </t>
  </si>
  <si>
    <t>This Study</t>
  </si>
  <si>
    <t>Sweet Hall Marsh, Virginia, USA</t>
  </si>
  <si>
    <t>Goodwin Islands, Virginia, USA</t>
  </si>
  <si>
    <t>Moneystump Swamp, Maryland, USA</t>
  </si>
  <si>
    <t>GCReW, Maryland, USA</t>
  </si>
  <si>
    <t>Transition</t>
  </si>
  <si>
    <t>bulk density</t>
  </si>
  <si>
    <t>BD source</t>
  </si>
  <si>
    <t>same paper</t>
  </si>
  <si>
    <t>Core size</t>
  </si>
  <si>
    <t>8.5 cm diameter, 5 cm deep</t>
  </si>
  <si>
    <t xml:space="preserve">Convert remaining rates to umoles/m2/d? </t>
  </si>
  <si>
    <t>calculated from SOC</t>
  </si>
  <si>
    <t>SOC reported in paper (g/kg)</t>
  </si>
  <si>
    <t xml:space="preserve">don’t say; so assume top 5 or 10 cm? </t>
  </si>
  <si>
    <t>0-15cm and 10cm diameter</t>
  </si>
  <si>
    <t xml:space="preserve">same paper </t>
  </si>
  <si>
    <t>nothing listed so we will omit these from the distribution</t>
  </si>
  <si>
    <t>bulk_density_gcm3</t>
  </si>
  <si>
    <t>sed thickness_cm</t>
  </si>
  <si>
    <t>conversion factor_cm2_to_m2</t>
  </si>
  <si>
    <t>hr/day</t>
  </si>
  <si>
    <t>DNF Rate_umoles_g_hr</t>
  </si>
  <si>
    <t>umoles/m2/hr</t>
  </si>
  <si>
    <t>umoles/m2/day</t>
  </si>
  <si>
    <t>log DNF</t>
  </si>
  <si>
    <t xml:space="preserve">Upland </t>
  </si>
  <si>
    <t xml:space="preserve">Quantiles for compiled data: </t>
  </si>
  <si>
    <t>Upland my data</t>
  </si>
  <si>
    <t>lower 25% quartile except for sweet hall; which was in the 50% quartile of compiled upland rates</t>
  </si>
  <si>
    <t xml:space="preserve">Transisiton data </t>
  </si>
  <si>
    <t xml:space="preserve">Between the 25 and 75% quartile of upland rates; in between the 50 and 75% quartile of wetland rates </t>
  </si>
  <si>
    <t xml:space="preserve">wetalnd rates </t>
  </si>
  <si>
    <t xml:space="preserve">In the lower 50% quartile of wetalnd rates compiled </t>
  </si>
  <si>
    <t>Units are umol m-2 d-1 (normal text) and nmol g-1 h-1 (italics).</t>
  </si>
  <si>
    <t>For comparison</t>
  </si>
  <si>
    <t xml:space="preserve">Forest Soils: Michigan USA (well drained, sandy soil) </t>
  </si>
  <si>
    <t xml:space="preserve">Forest Soils: Michigan USA (not well drained, clay loam) </t>
  </si>
  <si>
    <t>NA</t>
  </si>
  <si>
    <t xml:space="preserve">from graph hard to tell </t>
  </si>
  <si>
    <t>hard to tell but about 10</t>
  </si>
  <si>
    <t>OLD USE FOR PAPER ONE</t>
  </si>
  <si>
    <t>no bulk density</t>
  </si>
  <si>
    <t>Wet Forest Soils (Amsterdam, Netherlands)</t>
  </si>
  <si>
    <t>Review of Forest Soils</t>
  </si>
  <si>
    <t>Pine forest soils (Netherlands)</t>
  </si>
  <si>
    <t xml:space="preserve">Temperate Forest Soil (China) </t>
  </si>
  <si>
    <t>Sweet Hall Marsh (Virginia, USA)</t>
  </si>
  <si>
    <t>Forest Soils: Well drained (Michigan, USA)</t>
  </si>
  <si>
    <t>Forest Soils: Not well drained (Michigan, USA)</t>
  </si>
  <si>
    <t>Goodwin Islands (Virginia, USA)</t>
  </si>
  <si>
    <t>Moneystump Swamp (Maryland, USA)</t>
  </si>
  <si>
    <t>GCReW (Maryland, USA)</t>
  </si>
  <si>
    <t>York River Marsh (Virginia, USA)</t>
  </si>
  <si>
    <t>Natural Marsh (North Carolina, USA)</t>
  </si>
  <si>
    <t>Juncus Marsh (Dauphin Island, USA)</t>
  </si>
  <si>
    <t>Spartina Marsh (Dauphin Island, USA)</t>
  </si>
  <si>
    <t>Spartina Alterniflora (New England, USA)</t>
  </si>
  <si>
    <t>Spartina patens (New England, USA)</t>
  </si>
  <si>
    <t>Phragmites australis (New England, USA)</t>
  </si>
  <si>
    <t>Tagus estuary winter (Portugal)</t>
  </si>
  <si>
    <t>Tagus estuary summer (Portugal)</t>
  </si>
  <si>
    <t>Marsh, Plum Island Sound (New England, USA)</t>
  </si>
  <si>
    <t>Marsh Chongming Island (China)</t>
  </si>
  <si>
    <t>Wetland (Mississippi, USA)</t>
  </si>
  <si>
    <t>Pine and Douglas Fir Forest (Netherlands)</t>
  </si>
  <si>
    <t>Pine Forest (Belgium)</t>
  </si>
  <si>
    <t>Various Forest (Eastern China)</t>
  </si>
  <si>
    <t>Tropical Forest (Puerto Rico, USA)</t>
  </si>
  <si>
    <t>Chongming Island (China)</t>
  </si>
  <si>
    <t>Plum Island LTER (Massachusetts, USA)</t>
  </si>
  <si>
    <t>DNRA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</si>
</sst>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8" x14ac:knownFonts="1">
    <font>
      <sz val="11"/>
      <color theme="1"/>
      <name val="Calibri"/>
      <family val="2"/>
      <scheme val="minor"/>
    </font>
    <font>
      <b/>
      <sz val="11"/>
      <color theme="1"/>
      <name val="Calibri"/>
      <family val="2"/>
      <scheme val="minor"/>
    </font>
    <font>
      <sz val="8"/>
      <name val="Calibri"/>
      <family val="2"/>
      <scheme val="minor"/>
    </font>
    <font>
      <b/>
      <sz val="12"/>
      <color theme="1"/>
      <name val="Times New Roman"/>
      <family val="1"/>
    </font>
    <font>
      <sz val="12"/>
      <color theme="1"/>
      <name val="Times New Roman"/>
      <family val="1"/>
    </font>
    <font>
      <i/>
      <sz val="12"/>
      <color theme="1"/>
      <name val="Times New Roman"/>
      <family val="1"/>
    </font>
    <font>
      <u/>
      <sz val="11"/>
      <color theme="10"/>
      <name val="Calibri"/>
      <family val="2"/>
      <scheme val="minor"/>
    </font>
    <font>
      <b/>
      <sz val="12"/>
      <color rgb="FFFF0000"/>
      <name val="Times New Roman"/>
      <family val="1"/>
    </font>
  </fonts>
  <fills count="12">
    <fill>
      <patternFill patternType="none"/>
    </fill>
    <fill>
      <patternFill patternType="gray125"/>
    </fill>
    <fill>
      <patternFill patternType="solid">
        <fgColor theme="2"/>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0"/>
        <bgColor indexed="64"/>
      </patternFill>
    </fill>
    <fill>
      <patternFill patternType="solid">
        <fgColor theme="7" tint="0.79998168889431442"/>
        <bgColor indexed="64"/>
      </patternFill>
    </fill>
    <fill>
      <patternFill patternType="solid">
        <fgColor theme="5" tint="0.39997558519241921"/>
        <bgColor indexed="64"/>
      </patternFill>
    </fill>
  </fills>
  <borders count="3">
    <border>
      <left/>
      <right/>
      <top/>
      <bottom/>
      <diagonal/>
    </border>
    <border>
      <left/>
      <right/>
      <top/>
      <bottom style="medium">
        <color indexed="64"/>
      </bottom>
      <diagonal/>
    </border>
    <border>
      <left/>
      <right/>
      <top/>
      <bottom style="thin">
        <color indexed="64"/>
      </bottom>
      <diagonal/>
    </border>
  </borders>
  <cellStyleXfs count="2">
    <xf numFmtId="0" fontId="0" fillId="0" borderId="0"/>
    <xf numFmtId="0" fontId="6" fillId="0" borderId="0" applyNumberFormat="0" applyFill="0" applyBorder="0" applyAlignment="0" applyProtection="0"/>
  </cellStyleXfs>
  <cellXfs count="78">
    <xf numFmtId="0" fontId="0" fillId="0" borderId="0" xfId="0"/>
    <xf numFmtId="0" fontId="1" fillId="2" borderId="0" xfId="0" applyFont="1" applyFill="1"/>
    <xf numFmtId="0" fontId="1" fillId="2" borderId="0" xfId="0" applyFont="1" applyFill="1" applyAlignment="1">
      <alignment horizontal="left"/>
    </xf>
    <xf numFmtId="0" fontId="0" fillId="0" borderId="0" xfId="0" applyAlignment="1">
      <alignment horizontal="left"/>
    </xf>
    <xf numFmtId="16" fontId="0" fillId="0" borderId="0" xfId="0" applyNumberFormat="1" applyAlignment="1">
      <alignment horizontal="left"/>
    </xf>
    <xf numFmtId="2" fontId="0" fillId="0" borderId="0" xfId="0" applyNumberFormat="1" applyAlignment="1">
      <alignment horizontal="left"/>
    </xf>
    <xf numFmtId="11" fontId="0" fillId="0" borderId="0" xfId="0" applyNumberFormat="1" applyAlignment="1">
      <alignment horizontal="left"/>
    </xf>
    <xf numFmtId="1" fontId="0" fillId="0" borderId="0" xfId="0" applyNumberFormat="1" applyAlignment="1">
      <alignment horizontal="left"/>
    </xf>
    <xf numFmtId="0" fontId="0" fillId="0" borderId="0" xfId="0" applyAlignment="1">
      <alignment horizontal="center"/>
    </xf>
    <xf numFmtId="2" fontId="0" fillId="0" borderId="0" xfId="0" applyNumberFormat="1" applyAlignment="1">
      <alignment horizontal="center"/>
    </xf>
    <xf numFmtId="0" fontId="0" fillId="3" borderId="0" xfId="0" applyFill="1" applyAlignment="1">
      <alignment horizontal="center"/>
    </xf>
    <xf numFmtId="0" fontId="0" fillId="3" borderId="0" xfId="0" applyFill="1" applyAlignment="1">
      <alignment horizontal="left"/>
    </xf>
    <xf numFmtId="0" fontId="0" fillId="4" borderId="0" xfId="0" applyFill="1"/>
    <xf numFmtId="2" fontId="0" fillId="5" borderId="0" xfId="0" applyNumberFormat="1" applyFill="1"/>
    <xf numFmtId="2" fontId="0" fillId="4" borderId="0" xfId="0" applyNumberFormat="1" applyFill="1"/>
    <xf numFmtId="2" fontId="0" fillId="6" borderId="0" xfId="0" applyNumberFormat="1" applyFill="1" applyAlignment="1">
      <alignment horizontal="center"/>
    </xf>
    <xf numFmtId="2" fontId="0" fillId="0" borderId="0" xfId="0" applyNumberFormat="1" applyFill="1"/>
    <xf numFmtId="1" fontId="0" fillId="6" borderId="0" xfId="0" applyNumberFormat="1" applyFill="1" applyAlignment="1">
      <alignment horizontal="left"/>
    </xf>
    <xf numFmtId="0" fontId="0" fillId="6" borderId="0" xfId="0" applyFill="1" applyAlignment="1">
      <alignment horizontal="left"/>
    </xf>
    <xf numFmtId="0" fontId="0" fillId="6" borderId="0" xfId="0" applyFill="1" applyAlignment="1">
      <alignment horizontal="center"/>
    </xf>
    <xf numFmtId="2" fontId="0" fillId="0" borderId="0" xfId="0" applyNumberFormat="1"/>
    <xf numFmtId="0" fontId="0" fillId="6" borderId="0" xfId="0" applyFill="1"/>
    <xf numFmtId="2" fontId="0" fillId="7" borderId="0" xfId="0" applyNumberFormat="1" applyFill="1"/>
    <xf numFmtId="2" fontId="0" fillId="6" borderId="0" xfId="0" applyNumberFormat="1" applyFill="1"/>
    <xf numFmtId="2" fontId="0" fillId="6" borderId="0" xfId="0" applyNumberFormat="1" applyFill="1" applyAlignment="1">
      <alignment horizontal="left"/>
    </xf>
    <xf numFmtId="0" fontId="0" fillId="0" borderId="0" xfId="0" applyFill="1"/>
    <xf numFmtId="0" fontId="0" fillId="4" borderId="0" xfId="0" applyFill="1" applyAlignment="1">
      <alignment horizontal="left"/>
    </xf>
    <xf numFmtId="0" fontId="0" fillId="0" borderId="0" xfId="0" applyFill="1" applyAlignment="1">
      <alignment horizontal="left"/>
    </xf>
    <xf numFmtId="0" fontId="0" fillId="8" borderId="0" xfId="0" applyFill="1" applyAlignment="1">
      <alignment horizontal="center"/>
    </xf>
    <xf numFmtId="2" fontId="0" fillId="8" borderId="0" xfId="0" applyNumberFormat="1" applyFill="1" applyAlignment="1">
      <alignment horizontal="center"/>
    </xf>
    <xf numFmtId="2" fontId="0" fillId="8" borderId="0" xfId="0" applyNumberFormat="1" applyFill="1" applyAlignment="1">
      <alignment horizontal="left"/>
    </xf>
    <xf numFmtId="0" fontId="0" fillId="8" borderId="0" xfId="0" applyFill="1" applyAlignment="1">
      <alignment horizontal="left"/>
    </xf>
    <xf numFmtId="0" fontId="0" fillId="0" borderId="1" xfId="0" applyBorder="1"/>
    <xf numFmtId="0" fontId="0" fillId="0" borderId="0" xfId="0" applyBorder="1"/>
    <xf numFmtId="0" fontId="4" fillId="9" borderId="0" xfId="0" applyFont="1" applyFill="1" applyAlignment="1">
      <alignment horizontal="center"/>
    </xf>
    <xf numFmtId="0" fontId="5" fillId="9" borderId="0" xfId="0" applyFont="1" applyFill="1" applyAlignment="1">
      <alignment horizontal="center"/>
    </xf>
    <xf numFmtId="1" fontId="4" fillId="9" borderId="0" xfId="0" applyNumberFormat="1" applyFont="1" applyFill="1" applyAlignment="1">
      <alignment horizontal="center"/>
    </xf>
    <xf numFmtId="0" fontId="4" fillId="9" borderId="0" xfId="0" applyFont="1" applyFill="1" applyBorder="1" applyAlignment="1">
      <alignment horizontal="center"/>
    </xf>
    <xf numFmtId="0" fontId="4" fillId="9" borderId="1" xfId="0" applyFont="1" applyFill="1" applyBorder="1" applyAlignment="1">
      <alignment horizontal="center"/>
    </xf>
    <xf numFmtId="1" fontId="4" fillId="9" borderId="1" xfId="0" applyNumberFormat="1" applyFont="1" applyFill="1" applyBorder="1" applyAlignment="1">
      <alignment horizontal="center"/>
    </xf>
    <xf numFmtId="0" fontId="3" fillId="0" borderId="0" xfId="0" applyFont="1" applyAlignment="1">
      <alignment horizontal="center" vertical="center"/>
    </xf>
    <xf numFmtId="0" fontId="3" fillId="9" borderId="1" xfId="0" applyFont="1" applyFill="1" applyBorder="1" applyAlignment="1">
      <alignment horizontal="center" vertical="center"/>
    </xf>
    <xf numFmtId="0" fontId="4" fillId="9" borderId="0" xfId="0" applyFont="1" applyFill="1" applyAlignment="1">
      <alignment horizontal="center" vertical="center"/>
    </xf>
    <xf numFmtId="0" fontId="5" fillId="9" borderId="0" xfId="0" applyFont="1" applyFill="1" applyAlignment="1">
      <alignment horizontal="center" vertical="center"/>
    </xf>
    <xf numFmtId="2" fontId="5" fillId="9" borderId="0" xfId="0" applyNumberFormat="1" applyFont="1" applyFill="1" applyAlignment="1">
      <alignment horizontal="center" vertical="center"/>
    </xf>
    <xf numFmtId="164" fontId="5" fillId="9" borderId="0" xfId="0" applyNumberFormat="1" applyFont="1" applyFill="1" applyAlignment="1">
      <alignment horizontal="center" vertical="center"/>
    </xf>
    <xf numFmtId="1" fontId="4" fillId="9" borderId="0" xfId="0" applyNumberFormat="1" applyFont="1" applyFill="1" applyAlignment="1">
      <alignment horizontal="center" vertical="center"/>
    </xf>
    <xf numFmtId="0" fontId="4" fillId="9" borderId="1" xfId="0" applyFont="1" applyFill="1" applyBorder="1" applyAlignment="1">
      <alignment horizontal="center" vertical="center"/>
    </xf>
    <xf numFmtId="1" fontId="4" fillId="9" borderId="1" xfId="0" applyNumberFormat="1" applyFont="1" applyFill="1" applyBorder="1" applyAlignment="1">
      <alignment horizontal="center" vertical="center"/>
    </xf>
    <xf numFmtId="1" fontId="5" fillId="9" borderId="0" xfId="0" applyNumberFormat="1" applyFont="1" applyFill="1" applyAlignment="1">
      <alignment horizontal="center" vertical="center"/>
    </xf>
    <xf numFmtId="1" fontId="4" fillId="9" borderId="0" xfId="0" applyNumberFormat="1" applyFont="1" applyFill="1" applyBorder="1" applyAlignment="1">
      <alignment horizontal="center"/>
    </xf>
    <xf numFmtId="0" fontId="4" fillId="9" borderId="2" xfId="0" applyFont="1" applyFill="1" applyBorder="1" applyAlignment="1">
      <alignment horizontal="center"/>
    </xf>
    <xf numFmtId="1" fontId="4" fillId="9" borderId="2" xfId="0" applyNumberFormat="1" applyFont="1" applyFill="1" applyBorder="1" applyAlignment="1">
      <alignment horizontal="center"/>
    </xf>
    <xf numFmtId="0" fontId="4" fillId="4" borderId="0" xfId="0" applyFont="1" applyFill="1" applyAlignment="1">
      <alignment horizontal="center"/>
    </xf>
    <xf numFmtId="0" fontId="5" fillId="4" borderId="0" xfId="0" applyFont="1" applyFill="1" applyAlignment="1">
      <alignment horizontal="center"/>
    </xf>
    <xf numFmtId="0" fontId="6" fillId="0" borderId="0" xfId="1" applyAlignment="1">
      <alignment horizontal="left"/>
    </xf>
    <xf numFmtId="0" fontId="0" fillId="3" borderId="0" xfId="0" applyFill="1"/>
    <xf numFmtId="0" fontId="0" fillId="5" borderId="0" xfId="0" applyFill="1"/>
    <xf numFmtId="165" fontId="0" fillId="3" borderId="0" xfId="0" applyNumberFormat="1" applyFill="1"/>
    <xf numFmtId="165" fontId="0" fillId="5" borderId="0" xfId="0" applyNumberFormat="1" applyFill="1"/>
    <xf numFmtId="2" fontId="0" fillId="3" borderId="0" xfId="0" applyNumberFormat="1" applyFill="1"/>
    <xf numFmtId="0" fontId="0" fillId="10" borderId="0" xfId="0" applyFill="1"/>
    <xf numFmtId="0" fontId="0" fillId="11" borderId="0" xfId="0" applyFill="1"/>
    <xf numFmtId="9" fontId="0" fillId="11" borderId="0" xfId="0" applyNumberFormat="1" applyFill="1"/>
    <xf numFmtId="0" fontId="3" fillId="6" borderId="2" xfId="0" applyFont="1" applyFill="1" applyBorder="1" applyAlignment="1">
      <alignment horizontal="center" vertical="center"/>
    </xf>
    <xf numFmtId="0" fontId="4" fillId="6" borderId="0" xfId="0" applyFont="1" applyFill="1" applyAlignment="1">
      <alignment horizontal="center"/>
    </xf>
    <xf numFmtId="2" fontId="3" fillId="6" borderId="2" xfId="0" applyNumberFormat="1" applyFont="1" applyFill="1" applyBorder="1" applyAlignment="1">
      <alignment horizontal="center" vertical="center"/>
    </xf>
    <xf numFmtId="0" fontId="4" fillId="9" borderId="0" xfId="0" applyFont="1" applyFill="1" applyAlignment="1">
      <alignment horizontal="center" wrapText="1"/>
    </xf>
    <xf numFmtId="0" fontId="3" fillId="9" borderId="1" xfId="0" applyFont="1" applyFill="1" applyBorder="1" applyAlignment="1">
      <alignment horizontal="center" vertical="center" wrapText="1"/>
    </xf>
    <xf numFmtId="0" fontId="4" fillId="9" borderId="0" xfId="0" applyFont="1" applyFill="1" applyBorder="1" applyAlignment="1">
      <alignment horizontal="center" wrapText="1"/>
    </xf>
    <xf numFmtId="0" fontId="4" fillId="9" borderId="1" xfId="0" applyFont="1" applyFill="1" applyBorder="1" applyAlignment="1">
      <alignment horizontal="center" wrapText="1"/>
    </xf>
    <xf numFmtId="0" fontId="0" fillId="0" borderId="0" xfId="0" applyAlignment="1">
      <alignment wrapText="1"/>
    </xf>
    <xf numFmtId="2" fontId="0" fillId="6" borderId="0" xfId="0" applyNumberFormat="1" applyFill="1" applyBorder="1" applyAlignment="1">
      <alignment horizontal="center"/>
    </xf>
    <xf numFmtId="0" fontId="4" fillId="6" borderId="0" xfId="0" applyFont="1" applyFill="1" applyBorder="1" applyAlignment="1">
      <alignment horizontal="center"/>
    </xf>
    <xf numFmtId="0" fontId="4" fillId="9" borderId="2" xfId="0" applyFont="1" applyFill="1" applyBorder="1" applyAlignment="1">
      <alignment horizontal="center" wrapText="1"/>
    </xf>
    <xf numFmtId="2" fontId="0" fillId="6" borderId="2" xfId="0" applyNumberFormat="1" applyFill="1" applyBorder="1" applyAlignment="1">
      <alignment horizontal="center"/>
    </xf>
    <xf numFmtId="0" fontId="4" fillId="6" borderId="2" xfId="0" applyFont="1" applyFill="1" applyBorder="1" applyAlignment="1">
      <alignment horizontal="center"/>
    </xf>
    <xf numFmtId="0" fontId="7" fillId="0" borderId="0" xfId="0" applyFont="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val">
        <cx:f>_xlchart.v1.3</cx:f>
      </cx:numDim>
    </cx:data>
  </cx:chartData>
  <cx:chart>
    <cx:title pos="t" align="ctr" overlay="0"/>
    <cx:plotArea>
      <cx:plotAreaRegion>
        <cx:series layoutId="boxWhisker" uniqueId="{22261405-C9B2-47FA-924C-4361FEA631D6}">
          <cx:dataId val="0"/>
          <cx:layoutPr>
            <cx:visibility meanLine="0" meanMarker="1" nonoutliers="0" outliers="1"/>
            <cx:statistics quartileMethod="exclusive"/>
          </cx:layoutPr>
        </cx:series>
      </cx:plotAreaRegion>
      <cx:axis id="0">
        <cx:catScaling gapWidth="1"/>
        <cx:tickLabels/>
      </cx:axis>
      <cx:axis id="1">
        <cx:valScaling max="2000000"/>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plotArea>
      <cx:plotAreaRegion>
        <cx:series layoutId="boxWhisker" uniqueId="{05169544-11AE-46AB-957E-D8E0ABE1562D}">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val">
        <cx:f>_xlchart.v1.5</cx:f>
      </cx:numDim>
    </cx:data>
  </cx:chartData>
  <cx:chart>
    <cx:title pos="t" align="ctr" overlay="0"/>
    <cx:plotArea>
      <cx:plotAreaRegion>
        <cx:series layoutId="boxWhisker" uniqueId="{F4FCE248-9F3F-4E75-92C9-2BD842E93A04}">
          <cx:dataId val="0"/>
          <cx:layoutPr>
            <cx:visibility meanLine="0" meanMarker="1" nonoutliers="0" outliers="1"/>
            <cx:statistics quartileMethod="exclusive"/>
          </cx:layoutPr>
        </cx:series>
      </cx:plotAreaRegion>
      <cx:axis id="0">
        <cx:catScaling gapWidth="1"/>
        <cx:tickLabels/>
      </cx:axis>
      <cx:axis id="1">
        <cx:valScaling max="200000"/>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microsoft.com/office/2014/relationships/chartEx" Target="../charts/chartEx3.xml"/></Relationships>
</file>

<file path=xl/drawings/drawing1.xml><?xml version="1.0" encoding="utf-8"?>
<xdr:wsDr xmlns:xdr="http://schemas.openxmlformats.org/drawingml/2006/spreadsheetDrawing" xmlns:a="http://schemas.openxmlformats.org/drawingml/2006/main">
  <xdr:twoCellAnchor>
    <xdr:from>
      <xdr:col>9</xdr:col>
      <xdr:colOff>28575</xdr:colOff>
      <xdr:row>5</xdr:row>
      <xdr:rowOff>42862</xdr:rowOff>
    </xdr:from>
    <xdr:to>
      <xdr:col>16</xdr:col>
      <xdr:colOff>333375</xdr:colOff>
      <xdr:row>18</xdr:row>
      <xdr:rowOff>185737</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B4E87BF2-DA5F-DE8F-648E-AD44EFCAF59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2001500" y="1147762"/>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47625</xdr:colOff>
      <xdr:row>19</xdr:row>
      <xdr:rowOff>166687</xdr:rowOff>
    </xdr:from>
    <xdr:to>
      <xdr:col>16</xdr:col>
      <xdr:colOff>352425</xdr:colOff>
      <xdr:row>33</xdr:row>
      <xdr:rowOff>109537</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D246607F-3860-0DBC-1AA8-2DE750A5A4D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2020550" y="4071937"/>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333375</xdr:colOff>
      <xdr:row>5</xdr:row>
      <xdr:rowOff>119062</xdr:rowOff>
    </xdr:from>
    <xdr:to>
      <xdr:col>16</xdr:col>
      <xdr:colOff>28575</xdr:colOff>
      <xdr:row>17</xdr:row>
      <xdr:rowOff>71437</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C9298939-5D43-A525-C4A2-A08A54E2060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1572875" y="1109662"/>
              <a:ext cx="4572000" cy="25527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1wqtxts1xzle7.cloudfront.net/67920164/0378-1127_2891_2990196-320210708-3683-17lzyws-libre.pdf?1625751356=&amp;response-content-disposition=inline%3B+filename%3DDenitrification_in_wet_forest_soil_syste.pdf&amp;Expires=1702912745&amp;Signature=ao9Ip0c1Ik0bpSeCfYZ1co3oMMvCBi9iGaNPofLxteGsWoU3rkhbZeDbbUOFyQowQDL2G6NlrgutxDI8KKu8qlftnMufz80UQMjFeVRPWOmG1wXpk-rmOv4InGnIVWWBjN1b~G6GHEyz~9vrfcPhyzT78Xk2HxbCf-9kIaWKp8ALqNfmb4MIomgoJ4aRCUK-Fg7BNyq5dccJZmWWKHHqaVtc6PyINi657qJlHHuLx3Z7FDFUq51~z6xndqHaqPGVQ8COykdSn3PffRlx8x--j~RtIkNJ~iPFmBklT0bemYv4zAvDN2OlKnjQ5MFnzpz0u5sg5ZFfB~brrXG73-siPg__&amp;Key-Pair-Id=APKAJLOHF5GGSLRBV4ZA" TargetMode="External"/><Relationship Id="rId2" Type="http://schemas.openxmlformats.org/officeDocument/2006/relationships/hyperlink" Target="https://link.springer.com/article/10.1007/s13157-012-0270-3" TargetMode="External"/><Relationship Id="rId1" Type="http://schemas.openxmlformats.org/officeDocument/2006/relationships/hyperlink" Target="https://www.sciencedirect.com/science/article/abs/pii/0038071789900539"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docs.google.com/document/d/1DhGvY6BVEmCDH7G2rFiCV9voaakpfiR9/edit" TargetMode="External"/><Relationship Id="rId1" Type="http://schemas.openxmlformats.org/officeDocument/2006/relationships/hyperlink" Target="https://www.jstor.org/stable/pdf/1352322.pdf?casa_token=ZSN3lT4JQ2AAAAAA:SeIwgMr4Amyh29keSqD3WL_VcjzzzG_7M9yX6UCLNYQtL5tJl5Vierloj-HVFws0idOoM7pYeGbadieDVbWsP2NXYzhjhsLCvr6vYomFpMpcJC2d6R3x"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3" Type="http://schemas.openxmlformats.org/officeDocument/2006/relationships/hyperlink" Target="https://www.nature.com/articles/srep21338" TargetMode="External"/><Relationship Id="rId2" Type="http://schemas.openxmlformats.org/officeDocument/2006/relationships/hyperlink" Target="https://library.wur.nl/ojs/index.php/njas/article/view/16619/16033" TargetMode="External"/><Relationship Id="rId1" Type="http://schemas.openxmlformats.org/officeDocument/2006/relationships/hyperlink" Target="https://link.springer.com/article/10.1007/s13157-012-0270-3" TargetMode="External"/><Relationship Id="rId4"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D619A-2E3D-4D93-9BC9-094A6237737B}">
  <dimension ref="A1:H24"/>
  <sheetViews>
    <sheetView tabSelected="1" workbookViewId="0">
      <selection activeCell="G39" sqref="G39"/>
    </sheetView>
  </sheetViews>
  <sheetFormatPr defaultRowHeight="15" x14ac:dyDescent="0.25"/>
  <cols>
    <col min="1" max="1" width="33.42578125" style="3" customWidth="1"/>
    <col min="2" max="2" width="30.28515625" style="3" customWidth="1"/>
    <col min="3" max="3" width="19.5703125" style="3" customWidth="1"/>
    <col min="4" max="6" width="17" style="3" customWidth="1"/>
    <col min="7" max="7" width="24" style="3" customWidth="1"/>
    <col min="8" max="8" width="110.140625" style="3" customWidth="1"/>
    <col min="9" max="16384" width="9.140625" style="3"/>
  </cols>
  <sheetData>
    <row r="1" spans="1:8" s="2" customFormat="1" x14ac:dyDescent="0.25">
      <c r="A1" s="2" t="s">
        <v>5</v>
      </c>
      <c r="B1" s="2" t="s">
        <v>5</v>
      </c>
      <c r="C1" s="2" t="s">
        <v>0</v>
      </c>
      <c r="D1" s="2" t="s">
        <v>1</v>
      </c>
      <c r="E1" s="2" t="s">
        <v>0</v>
      </c>
      <c r="F1" s="2" t="s">
        <v>1</v>
      </c>
      <c r="G1" s="2" t="s">
        <v>2</v>
      </c>
      <c r="H1" s="2" t="s">
        <v>3</v>
      </c>
    </row>
    <row r="2" spans="1:8" x14ac:dyDescent="0.25">
      <c r="A2" s="3" t="s">
        <v>14</v>
      </c>
      <c r="B2" s="3" t="s">
        <v>8</v>
      </c>
      <c r="C2" s="3">
        <v>0.11899999999999999</v>
      </c>
      <c r="D2" s="3" t="s">
        <v>4</v>
      </c>
      <c r="E2" s="11">
        <f>(((C2/1000)*14)*1000000000)/1000</f>
        <v>1666</v>
      </c>
      <c r="F2" s="11" t="s">
        <v>43</v>
      </c>
      <c r="G2" s="3" t="s">
        <v>7</v>
      </c>
      <c r="H2" s="3" t="s">
        <v>6</v>
      </c>
    </row>
    <row r="3" spans="1:8" x14ac:dyDescent="0.25">
      <c r="A3" s="3" t="s">
        <v>14</v>
      </c>
      <c r="B3" s="3" t="s">
        <v>9</v>
      </c>
      <c r="C3" s="3">
        <v>0.127</v>
      </c>
      <c r="D3" s="3" t="s">
        <v>4</v>
      </c>
      <c r="E3" s="11">
        <f t="shared" ref="E3:E5" si="0">(((C3/1000)*14)*1000000000)/1000</f>
        <v>1778</v>
      </c>
      <c r="F3" s="11" t="s">
        <v>43</v>
      </c>
      <c r="G3" s="3" t="s">
        <v>7</v>
      </c>
      <c r="H3" s="3" t="s">
        <v>6</v>
      </c>
    </row>
    <row r="4" spans="1:8" x14ac:dyDescent="0.25">
      <c r="A4" s="3" t="s">
        <v>14</v>
      </c>
      <c r="B4" s="3" t="s">
        <v>10</v>
      </c>
      <c r="C4" s="3">
        <v>0.124</v>
      </c>
      <c r="D4" s="3" t="s">
        <v>4</v>
      </c>
      <c r="E4" s="11">
        <f t="shared" si="0"/>
        <v>1736.0000000000002</v>
      </c>
      <c r="F4" s="11" t="s">
        <v>43</v>
      </c>
      <c r="G4" s="3" t="s">
        <v>7</v>
      </c>
      <c r="H4" s="3" t="s">
        <v>6</v>
      </c>
    </row>
    <row r="5" spans="1:8" x14ac:dyDescent="0.25">
      <c r="A5" s="3" t="s">
        <v>14</v>
      </c>
      <c r="B5" s="3" t="s">
        <v>12</v>
      </c>
      <c r="C5" s="3">
        <v>6.4000000000000001E-2</v>
      </c>
      <c r="D5" s="3" t="s">
        <v>4</v>
      </c>
      <c r="E5" s="11">
        <f t="shared" si="0"/>
        <v>896</v>
      </c>
      <c r="F5" s="11" t="s">
        <v>43</v>
      </c>
      <c r="G5" s="3" t="s">
        <v>7</v>
      </c>
      <c r="H5" s="3" t="s">
        <v>6</v>
      </c>
    </row>
    <row r="6" spans="1:8" x14ac:dyDescent="0.25">
      <c r="A6" s="3" t="s">
        <v>23</v>
      </c>
      <c r="B6" s="4" t="s">
        <v>22</v>
      </c>
      <c r="C6" s="5">
        <v>3</v>
      </c>
      <c r="D6" s="3" t="s">
        <v>19</v>
      </c>
      <c r="E6" s="11">
        <f>(((C6/1000000)*14)*1000000000)/1000</f>
        <v>42.000000000000007</v>
      </c>
      <c r="F6" s="11" t="s">
        <v>43</v>
      </c>
      <c r="G6" s="3" t="s">
        <v>20</v>
      </c>
      <c r="H6" s="3" t="s">
        <v>21</v>
      </c>
    </row>
    <row r="7" spans="1:8" x14ac:dyDescent="0.25">
      <c r="A7" s="3" t="s">
        <v>26</v>
      </c>
      <c r="B7" s="3" t="s">
        <v>27</v>
      </c>
      <c r="C7" s="3">
        <v>1</v>
      </c>
      <c r="D7" s="3" t="s">
        <v>29</v>
      </c>
      <c r="E7" s="17">
        <f t="shared" ref="E7" si="1">((((C7*1000)*14)*1000000)/10000)/365</f>
        <v>3835.6164383561645</v>
      </c>
      <c r="F7" s="18" t="s">
        <v>45</v>
      </c>
      <c r="G7" s="3" t="s">
        <v>25</v>
      </c>
      <c r="H7" s="3" t="s">
        <v>24</v>
      </c>
    </row>
    <row r="8" spans="1:8" x14ac:dyDescent="0.25">
      <c r="A8" s="3" t="s">
        <v>26</v>
      </c>
      <c r="B8" s="3" t="s">
        <v>28</v>
      </c>
      <c r="C8" s="3">
        <v>40</v>
      </c>
      <c r="D8" s="3" t="s">
        <v>29</v>
      </c>
      <c r="E8" s="17">
        <f>((((C8*1000)*14)*1000000)/10000)/365</f>
        <v>153424.65753424657</v>
      </c>
      <c r="F8" s="18" t="s">
        <v>45</v>
      </c>
      <c r="G8" s="3" t="s">
        <v>25</v>
      </c>
      <c r="H8" s="55" t="s">
        <v>24</v>
      </c>
    </row>
    <row r="9" spans="1:8" x14ac:dyDescent="0.25">
      <c r="A9" s="3" t="s">
        <v>33</v>
      </c>
      <c r="B9" s="3" t="s">
        <v>34</v>
      </c>
      <c r="C9" s="3">
        <v>128</v>
      </c>
      <c r="D9" s="3" t="s">
        <v>30</v>
      </c>
      <c r="E9" s="17">
        <f>(((C9/1000)*14)*1000000)/365</f>
        <v>4909.58904109589</v>
      </c>
      <c r="F9" s="18" t="s">
        <v>45</v>
      </c>
      <c r="G9" s="3" t="s">
        <v>32</v>
      </c>
      <c r="H9" s="55" t="s">
        <v>31</v>
      </c>
    </row>
    <row r="10" spans="1:8" x14ac:dyDescent="0.25">
      <c r="A10" s="3" t="s">
        <v>39</v>
      </c>
      <c r="B10" s="3" t="s">
        <v>38</v>
      </c>
      <c r="C10" s="3">
        <v>0.03</v>
      </c>
      <c r="D10" s="3" t="s">
        <v>35</v>
      </c>
      <c r="E10" s="11">
        <f>(((C10/1000000)*14)*1000000000)</f>
        <v>419.99999999999994</v>
      </c>
      <c r="F10" s="11" t="s">
        <v>43</v>
      </c>
      <c r="G10" s="3" t="s">
        <v>36</v>
      </c>
      <c r="H10" s="55" t="s">
        <v>37</v>
      </c>
    </row>
    <row r="11" spans="1:8" x14ac:dyDescent="0.25">
      <c r="A11" s="3" t="s">
        <v>39</v>
      </c>
      <c r="B11" s="3" t="s">
        <v>38</v>
      </c>
      <c r="C11" s="3">
        <v>0.4</v>
      </c>
      <c r="D11" s="3" t="s">
        <v>35</v>
      </c>
      <c r="E11" s="11">
        <f>(((C11/1000000)*14)*1000000000)</f>
        <v>5600.0000000000009</v>
      </c>
      <c r="F11" s="11" t="s">
        <v>43</v>
      </c>
      <c r="G11" s="3" t="s">
        <v>36</v>
      </c>
      <c r="H11" s="3" t="s">
        <v>37</v>
      </c>
    </row>
    <row r="12" spans="1:8" x14ac:dyDescent="0.25">
      <c r="A12" s="3" t="s">
        <v>41</v>
      </c>
      <c r="B12" s="3" t="s">
        <v>44</v>
      </c>
      <c r="C12" s="3">
        <v>1</v>
      </c>
      <c r="D12" s="3" t="s">
        <v>29</v>
      </c>
      <c r="E12" s="17">
        <f>((((C12*1000)*14)*1000000)/10000)/365</f>
        <v>3835.6164383561645</v>
      </c>
      <c r="F12" s="18" t="s">
        <v>45</v>
      </c>
      <c r="G12" s="3" t="s">
        <v>40</v>
      </c>
      <c r="H12" s="3" t="s">
        <v>42</v>
      </c>
    </row>
    <row r="16" spans="1:8" x14ac:dyDescent="0.25">
      <c r="A16" s="10" t="s">
        <v>82</v>
      </c>
      <c r="B16" s="10" t="s">
        <v>83</v>
      </c>
      <c r="C16" s="12" t="s">
        <v>93</v>
      </c>
      <c r="D16" s="13" t="s">
        <v>94</v>
      </c>
      <c r="E16" s="10" t="s">
        <v>91</v>
      </c>
      <c r="F16" s="11" t="s">
        <v>92</v>
      </c>
      <c r="G16" s="10" t="s">
        <v>85</v>
      </c>
    </row>
    <row r="17" spans="1:7" x14ac:dyDescent="0.25">
      <c r="A17" s="8" t="s">
        <v>86</v>
      </c>
      <c r="B17" s="8" t="s">
        <v>87</v>
      </c>
      <c r="C17" s="14">
        <v>9.0180222924119207</v>
      </c>
      <c r="D17" s="16">
        <v>7.5888021490937693E-2</v>
      </c>
      <c r="E17" s="15">
        <v>16332.640374034931</v>
      </c>
      <c r="F17" s="3" t="s">
        <v>92</v>
      </c>
      <c r="G17" s="9">
        <v>137.4416389224761</v>
      </c>
    </row>
    <row r="18" spans="1:7" x14ac:dyDescent="0.25">
      <c r="A18" s="8" t="s">
        <v>88</v>
      </c>
      <c r="B18" s="8" t="s">
        <v>87</v>
      </c>
      <c r="C18" s="14">
        <v>0.31944063772635101</v>
      </c>
      <c r="D18" s="16">
        <v>8.6564607650317302E-2</v>
      </c>
      <c r="E18" s="15">
        <v>321.9961628281618</v>
      </c>
      <c r="F18" s="3" t="s">
        <v>92</v>
      </c>
      <c r="G18" s="9">
        <v>87.257124511519834</v>
      </c>
    </row>
    <row r="19" spans="1:7" x14ac:dyDescent="0.25">
      <c r="A19" s="8" t="s">
        <v>89</v>
      </c>
      <c r="B19" s="8" t="s">
        <v>87</v>
      </c>
      <c r="C19" s="14">
        <v>1.68032276743422</v>
      </c>
      <c r="D19" s="16">
        <v>1.50175681073458</v>
      </c>
      <c r="E19" s="15">
        <v>604.91619627631917</v>
      </c>
      <c r="F19" s="3" t="s">
        <v>92</v>
      </c>
      <c r="G19" s="9">
        <v>540.63245186444874</v>
      </c>
    </row>
    <row r="20" spans="1:7" x14ac:dyDescent="0.25">
      <c r="A20" s="8" t="s">
        <v>90</v>
      </c>
      <c r="B20" s="8" t="s">
        <v>87</v>
      </c>
      <c r="C20" s="14">
        <v>0.21964765236599099</v>
      </c>
      <c r="D20" s="16">
        <v>0.19965477437398901</v>
      </c>
      <c r="E20" s="15">
        <v>405.90886157235138</v>
      </c>
      <c r="F20" s="3" t="s">
        <v>92</v>
      </c>
      <c r="G20" s="9">
        <v>368.96202304313169</v>
      </c>
    </row>
    <row r="21" spans="1:7" x14ac:dyDescent="0.25">
      <c r="A21" s="8" t="s">
        <v>86</v>
      </c>
      <c r="B21" s="8" t="s">
        <v>99</v>
      </c>
      <c r="C21" s="14">
        <v>11.9439418769095</v>
      </c>
      <c r="D21" s="16">
        <v>1.0036870848280799</v>
      </c>
      <c r="E21" s="15">
        <v>20220.770788367859</v>
      </c>
      <c r="F21" s="3" t="s">
        <v>92</v>
      </c>
      <c r="G21" s="9">
        <v>1699.2151079359703</v>
      </c>
    </row>
    <row r="22" spans="1:7" x14ac:dyDescent="0.25">
      <c r="A22" s="8" t="s">
        <v>88</v>
      </c>
      <c r="B22" s="8" t="s">
        <v>99</v>
      </c>
      <c r="C22" s="14">
        <v>12.370351582625</v>
      </c>
      <c r="D22" s="16">
        <v>2.2623758534945599</v>
      </c>
      <c r="E22" s="15">
        <v>29985.732236282998</v>
      </c>
      <c r="F22" s="3" t="s">
        <v>92</v>
      </c>
      <c r="G22" s="9">
        <v>5483.9990688708131</v>
      </c>
    </row>
    <row r="23" spans="1:7" x14ac:dyDescent="0.25">
      <c r="A23" s="8" t="s">
        <v>89</v>
      </c>
      <c r="B23" s="8" t="s">
        <v>99</v>
      </c>
      <c r="C23" s="14">
        <v>20.713693331375001</v>
      </c>
      <c r="D23" s="16">
        <v>3.59349454949853</v>
      </c>
      <c r="E23" s="15">
        <v>7954.058239248001</v>
      </c>
      <c r="F23" s="3" t="s">
        <v>92</v>
      </c>
      <c r="G23" s="9">
        <v>1379.9019070074355</v>
      </c>
    </row>
    <row r="24" spans="1:7" x14ac:dyDescent="0.25">
      <c r="A24" s="8" t="s">
        <v>90</v>
      </c>
      <c r="B24" s="8" t="s">
        <v>99</v>
      </c>
      <c r="C24" s="14">
        <v>17.728954403232098</v>
      </c>
      <c r="D24" s="16">
        <v>3.1829011511790402</v>
      </c>
      <c r="E24" s="15">
        <v>16168.806415747673</v>
      </c>
      <c r="F24" s="3" t="s">
        <v>92</v>
      </c>
      <c r="G24" s="9">
        <v>2902.8058498752848</v>
      </c>
    </row>
  </sheetData>
  <hyperlinks>
    <hyperlink ref="H8" r:id="rId1" xr:uid="{9FD6B716-F5AD-435B-A9DD-82DEE5714870}"/>
    <hyperlink ref="H10" r:id="rId2" xr:uid="{CD913FA0-64BE-4002-8C00-44340E433527}"/>
    <hyperlink ref="H9" r:id="rId3" display="https://d1wqtxts1xzle7.cloudfront.net/67920164/0378-1127_2891_2990196-320210708-3683-17lzyws-libre.pdf?1625751356=&amp;response-content-disposition=inline%3B+filename%3DDenitrification_in_wet_forest_soil_syste.pdf&amp;Expires=1702912745&amp;Signature=ao9Ip0c1Ik0bpSeCfYZ1co3oMMvCBi9iGaNPofLxteGsWoU3rkhbZeDbbUOFyQowQDL2G6NlrgutxDI8KKu8qlftnMufz80UQMjFeVRPWOmG1wXpk-rmOv4InGnIVWWBjN1b~G6GHEyz~9vrfcPhyzT78Xk2HxbCf-9kIaWKp8ALqNfmb4MIomgoJ4aRCUK-Fg7BNyq5dccJZmWWKHHqaVtc6PyINi657qJlHHuLx3Z7FDFUq51~z6xndqHaqPGVQ8COykdSn3PffRlx8x--j~RtIkNJ~iPFmBklT0bemYv4zAvDN2OlKnjQ5MFnzpz0u5sg5ZFfB~brrXG73-siPg__&amp;Key-Pair-Id=APKAJLOHF5GGSLRBV4ZA" xr:uid="{B63EE3AB-05C3-4460-91F9-3B0A08F383B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382D0-4831-4519-884A-E047C70D4A33}">
  <dimension ref="A1:I33"/>
  <sheetViews>
    <sheetView workbookViewId="0">
      <selection activeCell="C18" sqref="C18"/>
    </sheetView>
  </sheetViews>
  <sheetFormatPr defaultRowHeight="15" x14ac:dyDescent="0.25"/>
  <cols>
    <col min="1" max="1" width="9.140625" style="3"/>
    <col min="2" max="2" width="33.42578125" style="3" customWidth="1"/>
    <col min="3" max="3" width="30.28515625" style="3" customWidth="1"/>
    <col min="4" max="4" width="22.140625" style="3" customWidth="1"/>
    <col min="5" max="7" width="17" style="3" customWidth="1"/>
    <col min="8" max="8" width="24" style="3" customWidth="1"/>
    <col min="9" max="9" width="110.140625" style="3" customWidth="1"/>
    <col min="10" max="16384" width="9.140625" style="3"/>
  </cols>
  <sheetData>
    <row r="1" spans="1:9" s="2" customFormat="1" x14ac:dyDescent="0.25">
      <c r="B1" s="2" t="s">
        <v>5</v>
      </c>
      <c r="C1" s="2" t="s">
        <v>5</v>
      </c>
      <c r="D1" s="2" t="s">
        <v>0</v>
      </c>
      <c r="E1" s="2" t="s">
        <v>1</v>
      </c>
      <c r="F1" s="2" t="s">
        <v>0</v>
      </c>
      <c r="G1" s="2" t="s">
        <v>1</v>
      </c>
      <c r="H1" s="2" t="s">
        <v>2</v>
      </c>
      <c r="I1" s="2" t="s">
        <v>3</v>
      </c>
    </row>
    <row r="2" spans="1:9" x14ac:dyDescent="0.25">
      <c r="B2" s="3" t="s">
        <v>48</v>
      </c>
      <c r="D2" s="3">
        <v>1.8</v>
      </c>
      <c r="E2" s="3" t="s">
        <v>49</v>
      </c>
      <c r="F2" s="18">
        <f>(D2*1000)*24</f>
        <v>43200</v>
      </c>
      <c r="G2" s="18" t="s">
        <v>45</v>
      </c>
      <c r="H2" s="3" t="s">
        <v>46</v>
      </c>
      <c r="I2" s="3" t="s">
        <v>47</v>
      </c>
    </row>
    <row r="3" spans="1:9" x14ac:dyDescent="0.25">
      <c r="B3" s="3" t="s">
        <v>48</v>
      </c>
      <c r="D3" s="3">
        <v>17.600000000000001</v>
      </c>
      <c r="E3" s="3" t="s">
        <v>49</v>
      </c>
      <c r="F3" s="18">
        <f>(D3*1000)*24</f>
        <v>422400</v>
      </c>
      <c r="G3" s="18" t="s">
        <v>45</v>
      </c>
      <c r="H3" s="3" t="s">
        <v>46</v>
      </c>
      <c r="I3" s="3" t="s">
        <v>47</v>
      </c>
    </row>
    <row r="4" spans="1:9" x14ac:dyDescent="0.25">
      <c r="A4" s="3" t="s">
        <v>97</v>
      </c>
      <c r="B4" s="3" t="s">
        <v>52</v>
      </c>
      <c r="C4" s="3" t="s">
        <v>206</v>
      </c>
      <c r="D4" s="3">
        <v>500</v>
      </c>
      <c r="E4" s="3" t="s">
        <v>45</v>
      </c>
      <c r="F4" s="18">
        <v>500</v>
      </c>
      <c r="G4" s="18" t="s">
        <v>45</v>
      </c>
      <c r="H4" s="3" t="s">
        <v>51</v>
      </c>
      <c r="I4" s="3" t="s">
        <v>50</v>
      </c>
    </row>
    <row r="5" spans="1:9" x14ac:dyDescent="0.25">
      <c r="A5" s="3" t="s">
        <v>97</v>
      </c>
      <c r="B5" s="3" t="s">
        <v>53</v>
      </c>
      <c r="C5" s="3" t="s">
        <v>207</v>
      </c>
      <c r="D5" s="3">
        <v>10</v>
      </c>
      <c r="E5" s="3" t="s">
        <v>45</v>
      </c>
      <c r="F5" s="18">
        <v>10</v>
      </c>
      <c r="G5" s="18" t="s">
        <v>45</v>
      </c>
      <c r="H5" s="3" t="s">
        <v>51</v>
      </c>
      <c r="I5" s="55" t="s">
        <v>50</v>
      </c>
    </row>
    <row r="6" spans="1:9" x14ac:dyDescent="0.25">
      <c r="A6" s="3" t="s">
        <v>98</v>
      </c>
      <c r="B6" s="3" t="s">
        <v>55</v>
      </c>
      <c r="C6" s="4" t="s">
        <v>54</v>
      </c>
      <c r="D6" s="5">
        <v>48</v>
      </c>
      <c r="E6" s="3" t="s">
        <v>49</v>
      </c>
      <c r="F6" s="18">
        <f t="shared" ref="F6:F7" si="0">(D6*1000)*24</f>
        <v>1152000</v>
      </c>
      <c r="G6" s="18" t="s">
        <v>45</v>
      </c>
      <c r="H6" s="3" t="s">
        <v>59</v>
      </c>
      <c r="I6" s="3" t="s">
        <v>58</v>
      </c>
    </row>
    <row r="7" spans="1:9" x14ac:dyDescent="0.25">
      <c r="A7" s="3" t="s">
        <v>98</v>
      </c>
      <c r="B7" s="3" t="s">
        <v>56</v>
      </c>
      <c r="C7" s="3" t="s">
        <v>57</v>
      </c>
      <c r="D7" s="3">
        <v>16.100000000000001</v>
      </c>
      <c r="E7" s="3" t="s">
        <v>49</v>
      </c>
      <c r="F7" s="18">
        <f t="shared" si="0"/>
        <v>386400.00000000006</v>
      </c>
      <c r="G7" s="18" t="s">
        <v>45</v>
      </c>
      <c r="H7" s="3" t="s">
        <v>59</v>
      </c>
      <c r="I7" s="3" t="s">
        <v>58</v>
      </c>
    </row>
    <row r="8" spans="1:9" x14ac:dyDescent="0.25">
      <c r="A8" s="3" t="s">
        <v>96</v>
      </c>
      <c r="B8" s="3" t="s">
        <v>62</v>
      </c>
      <c r="C8" s="3" t="s">
        <v>60</v>
      </c>
      <c r="D8" s="3">
        <v>4</v>
      </c>
      <c r="E8" s="3" t="s">
        <v>61</v>
      </c>
      <c r="F8" s="18">
        <f>(((D8/1000)*14)*1000000)*24</f>
        <v>1344000</v>
      </c>
      <c r="G8" s="18" t="s">
        <v>45</v>
      </c>
      <c r="H8" s="3" t="s">
        <v>67</v>
      </c>
      <c r="I8" s="3" t="s">
        <v>68</v>
      </c>
    </row>
    <row r="9" spans="1:9" x14ac:dyDescent="0.25">
      <c r="A9" s="3" t="s">
        <v>96</v>
      </c>
      <c r="B9" s="3" t="s">
        <v>64</v>
      </c>
      <c r="C9" s="3" t="s">
        <v>63</v>
      </c>
      <c r="D9" s="3">
        <v>25</v>
      </c>
      <c r="E9" s="3" t="s">
        <v>61</v>
      </c>
      <c r="F9" s="18">
        <f t="shared" ref="F9:F10" si="1">(((D9/1000)*14)*1000000)*24</f>
        <v>8400000.0000000019</v>
      </c>
      <c r="G9" s="18" t="s">
        <v>45</v>
      </c>
      <c r="H9" s="3" t="s">
        <v>67</v>
      </c>
      <c r="I9" s="3" t="s">
        <v>68</v>
      </c>
    </row>
    <row r="10" spans="1:9" x14ac:dyDescent="0.25">
      <c r="A10" s="3" t="s">
        <v>96</v>
      </c>
      <c r="B10" s="3" t="s">
        <v>66</v>
      </c>
      <c r="C10" s="3" t="s">
        <v>65</v>
      </c>
      <c r="D10" s="3">
        <v>56</v>
      </c>
      <c r="E10" s="3" t="s">
        <v>61</v>
      </c>
      <c r="F10" s="18">
        <f t="shared" si="1"/>
        <v>18816000</v>
      </c>
      <c r="G10" s="18" t="s">
        <v>45</v>
      </c>
      <c r="H10" s="3" t="s">
        <v>67</v>
      </c>
      <c r="I10" s="3" t="s">
        <v>68</v>
      </c>
    </row>
    <row r="11" spans="1:9" x14ac:dyDescent="0.25">
      <c r="B11" s="3" t="s">
        <v>70</v>
      </c>
      <c r="C11" s="3" t="s">
        <v>69</v>
      </c>
      <c r="H11" s="3" t="s">
        <v>74</v>
      </c>
      <c r="I11" s="3" t="s">
        <v>73</v>
      </c>
    </row>
    <row r="12" spans="1:9" x14ac:dyDescent="0.25">
      <c r="B12" s="3" t="s">
        <v>71</v>
      </c>
      <c r="C12" s="3" t="s">
        <v>72</v>
      </c>
      <c r="F12" s="7"/>
      <c r="H12" s="3" t="s">
        <v>74</v>
      </c>
      <c r="I12" s="3" t="s">
        <v>73</v>
      </c>
    </row>
    <row r="13" spans="1:9" x14ac:dyDescent="0.25">
      <c r="B13" s="3" t="s">
        <v>77</v>
      </c>
      <c r="C13" s="3" t="s">
        <v>75</v>
      </c>
      <c r="D13" s="3">
        <v>676</v>
      </c>
      <c r="E13" s="3" t="s">
        <v>76</v>
      </c>
      <c r="F13" s="18">
        <f>D13*24</f>
        <v>16224</v>
      </c>
      <c r="G13" s="18" t="s">
        <v>45</v>
      </c>
      <c r="H13" s="3" t="s">
        <v>80</v>
      </c>
      <c r="I13" s="55" t="s">
        <v>81</v>
      </c>
    </row>
    <row r="14" spans="1:9" x14ac:dyDescent="0.25">
      <c r="B14" s="3" t="s">
        <v>78</v>
      </c>
      <c r="C14" s="3" t="s">
        <v>79</v>
      </c>
      <c r="D14" s="3">
        <v>151</v>
      </c>
      <c r="E14" s="3" t="s">
        <v>76</v>
      </c>
      <c r="F14" s="18">
        <f>D14*24</f>
        <v>3624</v>
      </c>
      <c r="G14" s="18" t="s">
        <v>45</v>
      </c>
      <c r="H14" s="3" t="s">
        <v>80</v>
      </c>
      <c r="I14" s="3" t="s">
        <v>81</v>
      </c>
    </row>
    <row r="15" spans="1:9" x14ac:dyDescent="0.25">
      <c r="B15" s="3" t="s">
        <v>133</v>
      </c>
      <c r="C15" s="3" t="s">
        <v>132</v>
      </c>
      <c r="D15" s="3">
        <v>5.17</v>
      </c>
      <c r="E15" s="3" t="s">
        <v>130</v>
      </c>
      <c r="F15" s="26">
        <v>5.17</v>
      </c>
      <c r="G15" s="26" t="s">
        <v>130</v>
      </c>
      <c r="H15" s="3" t="s">
        <v>134</v>
      </c>
      <c r="I15" s="3" t="s">
        <v>135</v>
      </c>
    </row>
    <row r="16" spans="1:9" x14ac:dyDescent="0.25">
      <c r="B16" s="3" t="s">
        <v>133</v>
      </c>
      <c r="C16" s="3" t="s">
        <v>132</v>
      </c>
      <c r="D16" s="3">
        <v>7.8</v>
      </c>
      <c r="E16" s="3" t="s">
        <v>130</v>
      </c>
      <c r="F16" s="26">
        <v>7.8</v>
      </c>
      <c r="G16" s="26" t="s">
        <v>130</v>
      </c>
      <c r="H16" s="3" t="s">
        <v>134</v>
      </c>
      <c r="I16" s="3" t="s">
        <v>135</v>
      </c>
    </row>
    <row r="17" spans="2:9" x14ac:dyDescent="0.25">
      <c r="B17" s="3" t="s">
        <v>133</v>
      </c>
      <c r="C17" s="3" t="s">
        <v>137</v>
      </c>
      <c r="D17" s="3">
        <v>5.2</v>
      </c>
      <c r="E17" s="3" t="s">
        <v>136</v>
      </c>
      <c r="F17" s="18">
        <f>D17*24</f>
        <v>124.80000000000001</v>
      </c>
      <c r="G17" s="18" t="s">
        <v>45</v>
      </c>
      <c r="H17" s="3" t="s">
        <v>139</v>
      </c>
    </row>
    <row r="18" spans="2:9" x14ac:dyDescent="0.25">
      <c r="B18" s="3" t="s">
        <v>146</v>
      </c>
      <c r="C18" s="3" t="s">
        <v>145</v>
      </c>
      <c r="D18" s="3">
        <v>18</v>
      </c>
      <c r="E18" s="3" t="s">
        <v>136</v>
      </c>
      <c r="F18" s="18">
        <f t="shared" ref="F18:F19" si="2">D18*24</f>
        <v>432</v>
      </c>
      <c r="G18" s="18" t="s">
        <v>144</v>
      </c>
      <c r="H18" s="3" t="s">
        <v>142</v>
      </c>
      <c r="I18" s="3" t="s">
        <v>143</v>
      </c>
    </row>
    <row r="19" spans="2:9" x14ac:dyDescent="0.25">
      <c r="B19" s="3" t="s">
        <v>147</v>
      </c>
      <c r="C19" s="3" t="s">
        <v>145</v>
      </c>
      <c r="D19" s="3">
        <v>113</v>
      </c>
      <c r="E19" s="3" t="s">
        <v>136</v>
      </c>
      <c r="F19" s="18">
        <f t="shared" si="2"/>
        <v>2712</v>
      </c>
      <c r="G19" s="18" t="s">
        <v>144</v>
      </c>
      <c r="H19" s="3" t="s">
        <v>142</v>
      </c>
      <c r="I19" s="3" t="s">
        <v>143</v>
      </c>
    </row>
    <row r="22" spans="2:9" x14ac:dyDescent="0.25">
      <c r="F22" s="6"/>
    </row>
    <row r="23" spans="2:9" x14ac:dyDescent="0.25">
      <c r="B23" s="8" t="s">
        <v>82</v>
      </c>
      <c r="C23" s="8" t="s">
        <v>83</v>
      </c>
      <c r="D23" s="19" t="s">
        <v>84</v>
      </c>
      <c r="E23" s="8" t="s">
        <v>85</v>
      </c>
      <c r="F23" s="12" t="s">
        <v>93</v>
      </c>
      <c r="G23" s="16" t="s">
        <v>94</v>
      </c>
    </row>
    <row r="24" spans="2:9" x14ac:dyDescent="0.25">
      <c r="B24" s="8" t="s">
        <v>86</v>
      </c>
      <c r="C24" s="8" t="s">
        <v>95</v>
      </c>
      <c r="D24" s="15">
        <v>2844.7014871814199</v>
      </c>
      <c r="E24" s="9">
        <v>570.61852310330573</v>
      </c>
      <c r="F24" s="14">
        <v>6.4890656044000004</v>
      </c>
      <c r="G24" s="16">
        <v>1.30164133150293</v>
      </c>
    </row>
    <row r="25" spans="2:9" x14ac:dyDescent="0.25">
      <c r="B25" s="8" t="s">
        <v>88</v>
      </c>
      <c r="C25" s="8" t="s">
        <v>95</v>
      </c>
      <c r="D25" s="15">
        <v>59657.373206622004</v>
      </c>
      <c r="E25" s="9">
        <v>8174.2212549913475</v>
      </c>
      <c r="F25" s="14">
        <v>16.68271062825</v>
      </c>
      <c r="G25" s="16">
        <v>2.2858560556463501</v>
      </c>
    </row>
    <row r="26" spans="2:9" x14ac:dyDescent="0.25">
      <c r="B26" s="8" t="s">
        <v>89</v>
      </c>
      <c r="C26" s="8" t="s">
        <v>95</v>
      </c>
      <c r="D26" s="15">
        <v>436.82540374999917</v>
      </c>
      <c r="E26" s="9">
        <v>281.90210729215448</v>
      </c>
      <c r="F26" s="14">
        <v>1.8201058489583299</v>
      </c>
      <c r="G26" s="16">
        <v>1.1745921137173101</v>
      </c>
    </row>
    <row r="27" spans="2:9" x14ac:dyDescent="0.25">
      <c r="B27" s="8" t="s">
        <v>90</v>
      </c>
      <c r="C27" s="8" t="s">
        <v>95</v>
      </c>
      <c r="D27" s="15">
        <v>873.45899003999796</v>
      </c>
      <c r="E27" s="9">
        <v>470.8330403292818</v>
      </c>
      <c r="F27" s="14">
        <v>1.5164218577083299</v>
      </c>
      <c r="G27" s="16">
        <v>0.81741847279389201</v>
      </c>
    </row>
    <row r="28" spans="2:9" x14ac:dyDescent="0.25">
      <c r="G28" s="27"/>
    </row>
    <row r="29" spans="2:9" x14ac:dyDescent="0.25">
      <c r="B29" s="8" t="s">
        <v>82</v>
      </c>
      <c r="C29" s="8" t="s">
        <v>83</v>
      </c>
      <c r="D29" s="19" t="s">
        <v>84</v>
      </c>
      <c r="E29" s="8" t="s">
        <v>85</v>
      </c>
      <c r="G29" s="27"/>
    </row>
    <row r="30" spans="2:9" x14ac:dyDescent="0.25">
      <c r="B30" s="8" t="s">
        <v>86</v>
      </c>
      <c r="C30" s="8" t="s">
        <v>99</v>
      </c>
      <c r="D30" s="15">
        <v>20220.770788367859</v>
      </c>
      <c r="E30" s="9">
        <v>1699.2151079359703</v>
      </c>
      <c r="F30" s="14">
        <v>11.9439418769095</v>
      </c>
      <c r="G30" s="16">
        <v>1.0036870848280799</v>
      </c>
    </row>
    <row r="31" spans="2:9" x14ac:dyDescent="0.25">
      <c r="B31" s="8" t="s">
        <v>88</v>
      </c>
      <c r="C31" s="8" t="s">
        <v>99</v>
      </c>
      <c r="D31" s="15">
        <v>29985.732236282998</v>
      </c>
      <c r="E31" s="9">
        <v>5483.9990688708131</v>
      </c>
      <c r="F31" s="14">
        <v>12.370351582625</v>
      </c>
      <c r="G31" s="16">
        <v>2.2623758534945599</v>
      </c>
    </row>
    <row r="32" spans="2:9" x14ac:dyDescent="0.25">
      <c r="B32" s="8" t="s">
        <v>89</v>
      </c>
      <c r="C32" s="8" t="s">
        <v>99</v>
      </c>
      <c r="D32" s="15">
        <v>7954.058239248001</v>
      </c>
      <c r="E32" s="9">
        <v>1379.9019070074355</v>
      </c>
      <c r="F32" s="14">
        <v>20.713693331375001</v>
      </c>
      <c r="G32" s="16">
        <v>3.59349454949853</v>
      </c>
    </row>
    <row r="33" spans="2:7" x14ac:dyDescent="0.25">
      <c r="B33" s="8" t="s">
        <v>90</v>
      </c>
      <c r="C33" s="8" t="s">
        <v>99</v>
      </c>
      <c r="D33" s="15">
        <v>16168.806415747673</v>
      </c>
      <c r="E33" s="9">
        <v>2902.8058498752848</v>
      </c>
      <c r="F33" s="14">
        <v>17.728954403232098</v>
      </c>
      <c r="G33" s="16">
        <v>3.1829011511790402</v>
      </c>
    </row>
  </sheetData>
  <phoneticPr fontId="2" type="noConversion"/>
  <hyperlinks>
    <hyperlink ref="I5" r:id="rId1" xr:uid="{8F98425B-2ABF-40BC-82D8-825DC27A3D29}"/>
    <hyperlink ref="I13" r:id="rId2" xr:uid="{98EFEC1D-B172-4B02-B606-0EE38F29D711}"/>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DDF71-DB8B-40E9-A40E-0474770CB2A1}">
  <dimension ref="A1:J25"/>
  <sheetViews>
    <sheetView workbookViewId="0">
      <selection activeCell="H7" sqref="H7"/>
    </sheetView>
  </sheetViews>
  <sheetFormatPr defaultRowHeight="15" x14ac:dyDescent="0.25"/>
  <cols>
    <col min="1" max="1" width="27" bestFit="1" customWidth="1"/>
    <col min="2" max="2" width="27.85546875" customWidth="1"/>
    <col min="3" max="3" width="16.5703125" customWidth="1"/>
    <col min="4" max="4" width="17.85546875" customWidth="1"/>
    <col min="5" max="6" width="18.85546875" customWidth="1"/>
    <col min="7" max="7" width="20.85546875" customWidth="1"/>
    <col min="8" max="8" width="57.28515625" customWidth="1"/>
  </cols>
  <sheetData>
    <row r="1" spans="1:10" s="2" customFormat="1" x14ac:dyDescent="0.25">
      <c r="A1" s="2" t="s">
        <v>5</v>
      </c>
      <c r="B1" s="2" t="s">
        <v>5</v>
      </c>
      <c r="C1" s="2" t="s">
        <v>0</v>
      </c>
      <c r="D1" s="2" t="s">
        <v>1</v>
      </c>
      <c r="E1" s="2" t="s">
        <v>0</v>
      </c>
      <c r="F1" s="2" t="s">
        <v>1</v>
      </c>
      <c r="G1" s="2" t="s">
        <v>2</v>
      </c>
      <c r="H1" s="2" t="s">
        <v>3</v>
      </c>
      <c r="J1" s="2" t="s">
        <v>106</v>
      </c>
    </row>
    <row r="2" spans="1:10" x14ac:dyDescent="0.25">
      <c r="A2" t="s">
        <v>102</v>
      </c>
      <c r="B2" t="s">
        <v>101</v>
      </c>
      <c r="C2">
        <v>0.24</v>
      </c>
      <c r="D2" t="s">
        <v>100</v>
      </c>
      <c r="E2" s="24">
        <f>((((C2/1000)*14)*1000000000)/1000)/24</f>
        <v>139.99999999999997</v>
      </c>
      <c r="F2" s="18" t="s">
        <v>43</v>
      </c>
      <c r="G2" t="s">
        <v>103</v>
      </c>
      <c r="H2" t="s">
        <v>104</v>
      </c>
    </row>
    <row r="3" spans="1:10" x14ac:dyDescent="0.25">
      <c r="A3" t="s">
        <v>113</v>
      </c>
      <c r="B3" t="s">
        <v>116</v>
      </c>
      <c r="C3">
        <v>0.01</v>
      </c>
      <c r="D3" t="s">
        <v>105</v>
      </c>
      <c r="E3" s="24">
        <f t="shared" ref="E3" si="0">((((C3/1000)*14)*1000000000)/1000)/24</f>
        <v>5.8333333333333348</v>
      </c>
      <c r="F3" s="18" t="s">
        <v>43</v>
      </c>
      <c r="G3" t="s">
        <v>108</v>
      </c>
      <c r="H3" t="s">
        <v>111</v>
      </c>
      <c r="J3" t="s">
        <v>107</v>
      </c>
    </row>
    <row r="4" spans="1:10" x14ac:dyDescent="0.25">
      <c r="A4" t="s">
        <v>113</v>
      </c>
      <c r="B4" t="s">
        <v>116</v>
      </c>
      <c r="C4">
        <v>0.25</v>
      </c>
      <c r="D4" t="s">
        <v>105</v>
      </c>
      <c r="E4" s="24">
        <f t="shared" ref="E4:E7" si="1">((((C4/1000)*14)*1000000000)/1000)/24</f>
        <v>145.83333333333334</v>
      </c>
      <c r="F4" s="18" t="s">
        <v>43</v>
      </c>
      <c r="G4" t="s">
        <v>108</v>
      </c>
      <c r="H4" t="s">
        <v>111</v>
      </c>
      <c r="J4" t="s">
        <v>107</v>
      </c>
    </row>
    <row r="5" spans="1:10" x14ac:dyDescent="0.25">
      <c r="A5" t="s">
        <v>114</v>
      </c>
      <c r="B5" t="s">
        <v>117</v>
      </c>
      <c r="C5">
        <v>4.0000000000000001E-3</v>
      </c>
      <c r="D5" t="s">
        <v>105</v>
      </c>
      <c r="E5" s="24">
        <f t="shared" si="1"/>
        <v>2.3333333333333335</v>
      </c>
      <c r="F5" s="18" t="s">
        <v>43</v>
      </c>
      <c r="G5" t="s">
        <v>109</v>
      </c>
      <c r="J5">
        <v>9</v>
      </c>
    </row>
    <row r="6" spans="1:10" x14ac:dyDescent="0.25">
      <c r="A6" t="s">
        <v>115</v>
      </c>
      <c r="B6" t="s">
        <v>118</v>
      </c>
      <c r="C6">
        <v>0.106</v>
      </c>
      <c r="D6" t="s">
        <v>105</v>
      </c>
      <c r="E6" s="24">
        <f t="shared" si="1"/>
        <v>61.833333333333336</v>
      </c>
      <c r="F6" s="18" t="s">
        <v>43</v>
      </c>
      <c r="G6" t="s">
        <v>110</v>
      </c>
      <c r="H6" t="s">
        <v>112</v>
      </c>
      <c r="J6">
        <v>10</v>
      </c>
    </row>
    <row r="7" spans="1:10" x14ac:dyDescent="0.25">
      <c r="A7" t="s">
        <v>119</v>
      </c>
      <c r="B7" t="s">
        <v>120</v>
      </c>
      <c r="C7">
        <v>0.6</v>
      </c>
      <c r="D7" t="s">
        <v>105</v>
      </c>
      <c r="E7" s="24">
        <f t="shared" si="1"/>
        <v>350</v>
      </c>
      <c r="F7" s="18" t="s">
        <v>43</v>
      </c>
      <c r="G7" t="s">
        <v>121</v>
      </c>
      <c r="H7" t="s">
        <v>122</v>
      </c>
    </row>
    <row r="15" spans="1:10" x14ac:dyDescent="0.25">
      <c r="A15" t="s">
        <v>82</v>
      </c>
      <c r="B15" t="s">
        <v>123</v>
      </c>
      <c r="C15" s="20"/>
      <c r="E15" s="21" t="s">
        <v>125</v>
      </c>
      <c r="F15" s="22" t="s">
        <v>94</v>
      </c>
    </row>
    <row r="16" spans="1:10" x14ac:dyDescent="0.25">
      <c r="A16" t="s">
        <v>86</v>
      </c>
      <c r="B16" t="s">
        <v>87</v>
      </c>
      <c r="C16" s="20"/>
      <c r="E16" s="23">
        <v>0.36513299533978999</v>
      </c>
      <c r="F16" s="16">
        <v>9.0900537996222594E-2</v>
      </c>
    </row>
    <row r="17" spans="1:6" x14ac:dyDescent="0.25">
      <c r="A17" t="s">
        <v>88</v>
      </c>
      <c r="B17" t="s">
        <v>87</v>
      </c>
      <c r="C17" s="20"/>
      <c r="E17" s="23">
        <v>0.92866674797747795</v>
      </c>
      <c r="F17" s="16">
        <v>0.102566525612468</v>
      </c>
    </row>
    <row r="18" spans="1:6" x14ac:dyDescent="0.25">
      <c r="A18" t="s">
        <v>89</v>
      </c>
      <c r="B18" t="s">
        <v>87</v>
      </c>
      <c r="C18" s="20"/>
      <c r="E18" s="23">
        <v>1.1642327735563101</v>
      </c>
      <c r="F18" s="16">
        <v>0.55301511846223494</v>
      </c>
    </row>
    <row r="19" spans="1:6" x14ac:dyDescent="0.25">
      <c r="A19" t="s">
        <v>90</v>
      </c>
      <c r="B19" t="s">
        <v>87</v>
      </c>
      <c r="C19" s="20"/>
      <c r="E19" s="23">
        <v>0.59246895163063096</v>
      </c>
      <c r="F19" s="16">
        <v>0.124877140603215</v>
      </c>
    </row>
    <row r="20" spans="1:6" x14ac:dyDescent="0.25">
      <c r="F20" s="25"/>
    </row>
    <row r="21" spans="1:6" x14ac:dyDescent="0.25">
      <c r="F21" s="25"/>
    </row>
    <row r="22" spans="1:6" x14ac:dyDescent="0.25">
      <c r="A22" t="s">
        <v>86</v>
      </c>
      <c r="B22" t="s">
        <v>99</v>
      </c>
      <c r="C22" s="20"/>
      <c r="E22" s="23">
        <v>4.8915177245904697</v>
      </c>
      <c r="F22" s="16">
        <v>0.47393907191109702</v>
      </c>
    </row>
    <row r="23" spans="1:6" x14ac:dyDescent="0.25">
      <c r="A23" t="s">
        <v>88</v>
      </c>
      <c r="B23" t="s">
        <v>99</v>
      </c>
      <c r="C23" s="20"/>
      <c r="E23" s="23">
        <v>4.7516305751666703</v>
      </c>
      <c r="F23" s="16">
        <v>0.37716430840695198</v>
      </c>
    </row>
    <row r="24" spans="1:6" x14ac:dyDescent="0.25">
      <c r="A24" t="s">
        <v>89</v>
      </c>
      <c r="B24" t="s">
        <v>99</v>
      </c>
      <c r="C24" s="20"/>
      <c r="E24" s="23">
        <v>1.749173394</v>
      </c>
      <c r="F24" s="16">
        <v>0.43204725313725501</v>
      </c>
    </row>
    <row r="25" spans="1:6" x14ac:dyDescent="0.25">
      <c r="A25" t="s">
        <v>90</v>
      </c>
      <c r="B25" t="s">
        <v>99</v>
      </c>
      <c r="C25" s="20"/>
      <c r="E25" s="23">
        <v>0.56330301816666595</v>
      </c>
      <c r="F25" s="16">
        <v>0.81560472017716001</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18C76-730B-4429-8892-615B093F495A}">
  <dimension ref="A1:J23"/>
  <sheetViews>
    <sheetView workbookViewId="0">
      <selection activeCell="B7" sqref="B7"/>
    </sheetView>
  </sheetViews>
  <sheetFormatPr defaultRowHeight="15" x14ac:dyDescent="0.25"/>
  <cols>
    <col min="1" max="1" width="29.7109375" customWidth="1"/>
    <col min="2" max="2" width="26" customWidth="1"/>
    <col min="3" max="3" width="24.42578125" customWidth="1"/>
    <col min="4" max="4" width="16.5703125" customWidth="1"/>
    <col min="5" max="5" width="18.7109375" customWidth="1"/>
    <col min="6" max="6" width="19.7109375" customWidth="1"/>
    <col min="7" max="7" width="26.28515625" customWidth="1"/>
    <col min="8" max="8" width="47.85546875" customWidth="1"/>
  </cols>
  <sheetData>
    <row r="1" spans="1:10" s="2" customFormat="1" x14ac:dyDescent="0.25">
      <c r="A1" s="2" t="s">
        <v>5</v>
      </c>
      <c r="B1" s="2" t="s">
        <v>5</v>
      </c>
      <c r="C1" s="2" t="s">
        <v>0</v>
      </c>
      <c r="D1" s="2" t="s">
        <v>1</v>
      </c>
      <c r="E1" s="2" t="s">
        <v>0</v>
      </c>
      <c r="F1" s="2" t="s">
        <v>1</v>
      </c>
      <c r="G1" s="2" t="s">
        <v>2</v>
      </c>
      <c r="H1" s="2" t="s">
        <v>3</v>
      </c>
      <c r="J1" s="2" t="s">
        <v>106</v>
      </c>
    </row>
    <row r="2" spans="1:10" x14ac:dyDescent="0.25">
      <c r="A2" t="s">
        <v>127</v>
      </c>
      <c r="B2" t="s">
        <v>126</v>
      </c>
      <c r="C2">
        <v>1.7999999999999999E-2</v>
      </c>
      <c r="D2" t="s">
        <v>100</v>
      </c>
      <c r="E2" s="24">
        <f>((((C2/1000)*14)*1000000000)/1000)/24</f>
        <v>10.499999999999998</v>
      </c>
      <c r="F2" s="18" t="s">
        <v>43</v>
      </c>
      <c r="G2" t="s">
        <v>128</v>
      </c>
      <c r="H2" t="s">
        <v>129</v>
      </c>
    </row>
    <row r="3" spans="1:10" x14ac:dyDescent="0.25">
      <c r="A3" t="s">
        <v>127</v>
      </c>
      <c r="B3" t="s">
        <v>126</v>
      </c>
      <c r="C3">
        <v>0.497</v>
      </c>
      <c r="D3" t="s">
        <v>105</v>
      </c>
      <c r="E3" s="24">
        <f t="shared" ref="E3" si="0">((((C3/1000)*14)*1000000000)/1000)/24</f>
        <v>289.91666666666669</v>
      </c>
      <c r="F3" s="18" t="s">
        <v>43</v>
      </c>
      <c r="G3" t="s">
        <v>128</v>
      </c>
      <c r="H3" t="s">
        <v>129</v>
      </c>
    </row>
    <row r="4" spans="1:10" x14ac:dyDescent="0.25">
      <c r="A4" t="s">
        <v>127</v>
      </c>
      <c r="B4" t="s">
        <v>132</v>
      </c>
      <c r="C4">
        <v>0.84</v>
      </c>
      <c r="D4" t="s">
        <v>131</v>
      </c>
      <c r="E4" s="24">
        <f>C4</f>
        <v>0.84</v>
      </c>
      <c r="F4" s="18" t="s">
        <v>43</v>
      </c>
      <c r="G4" t="s">
        <v>134</v>
      </c>
      <c r="H4" t="s">
        <v>135</v>
      </c>
    </row>
    <row r="5" spans="1:10" x14ac:dyDescent="0.25">
      <c r="A5" t="s">
        <v>127</v>
      </c>
      <c r="B5" t="s">
        <v>132</v>
      </c>
      <c r="C5">
        <v>1.69</v>
      </c>
      <c r="D5" t="s">
        <v>131</v>
      </c>
      <c r="E5" s="24">
        <f>C5</f>
        <v>1.69</v>
      </c>
      <c r="F5" s="18" t="s">
        <v>43</v>
      </c>
      <c r="G5" t="s">
        <v>134</v>
      </c>
      <c r="H5" t="s">
        <v>135</v>
      </c>
    </row>
    <row r="6" spans="1:10" x14ac:dyDescent="0.25">
      <c r="A6" t="s">
        <v>138</v>
      </c>
      <c r="B6" t="s">
        <v>137</v>
      </c>
      <c r="C6">
        <v>3.9</v>
      </c>
      <c r="D6" t="s">
        <v>136</v>
      </c>
      <c r="E6" s="30">
        <f>C6*24</f>
        <v>93.6</v>
      </c>
      <c r="F6" s="31" t="s">
        <v>141</v>
      </c>
      <c r="G6" s="3" t="s">
        <v>139</v>
      </c>
    </row>
    <row r="7" spans="1:10" x14ac:dyDescent="0.25">
      <c r="A7" t="s">
        <v>149</v>
      </c>
      <c r="B7" t="s">
        <v>148</v>
      </c>
      <c r="C7">
        <v>0.7</v>
      </c>
      <c r="D7" t="s">
        <v>136</v>
      </c>
      <c r="E7" s="30">
        <f t="shared" ref="E7:E8" si="1">C7*24</f>
        <v>16.799999999999997</v>
      </c>
      <c r="F7" s="31" t="s">
        <v>141</v>
      </c>
      <c r="G7" s="3" t="s">
        <v>142</v>
      </c>
      <c r="H7" s="3" t="s">
        <v>143</v>
      </c>
    </row>
    <row r="8" spans="1:10" x14ac:dyDescent="0.25">
      <c r="A8" t="s">
        <v>149</v>
      </c>
      <c r="B8" t="s">
        <v>148</v>
      </c>
      <c r="C8">
        <v>9.1999999999999993</v>
      </c>
      <c r="D8" t="s">
        <v>136</v>
      </c>
      <c r="E8" s="30">
        <f t="shared" si="1"/>
        <v>220.79999999999998</v>
      </c>
      <c r="F8" s="31" t="s">
        <v>141</v>
      </c>
      <c r="G8" s="3" t="s">
        <v>142</v>
      </c>
      <c r="H8" s="3" t="s">
        <v>143</v>
      </c>
    </row>
    <row r="14" spans="1:10" x14ac:dyDescent="0.25">
      <c r="A14" t="s">
        <v>82</v>
      </c>
      <c r="B14" t="s">
        <v>123</v>
      </c>
      <c r="C14" s="28" t="s">
        <v>140</v>
      </c>
      <c r="D14" s="8" t="s">
        <v>85</v>
      </c>
      <c r="E14" s="21" t="s">
        <v>124</v>
      </c>
      <c r="F14" s="22" t="s">
        <v>94</v>
      </c>
    </row>
    <row r="15" spans="1:10" x14ac:dyDescent="0.25">
      <c r="A15" t="s">
        <v>86</v>
      </c>
      <c r="B15" t="s">
        <v>95</v>
      </c>
      <c r="C15" s="29">
        <v>1302.263210656761</v>
      </c>
      <c r="D15" s="9">
        <v>239.37817892983563</v>
      </c>
      <c r="E15" s="23">
        <v>2.9706004114059699</v>
      </c>
      <c r="F15" s="16">
        <v>0.54604699801967005</v>
      </c>
    </row>
    <row r="16" spans="1:10" x14ac:dyDescent="0.25">
      <c r="A16" t="s">
        <v>88</v>
      </c>
      <c r="B16" t="s">
        <v>95</v>
      </c>
      <c r="C16" s="29">
        <v>7998.3808620300006</v>
      </c>
      <c r="D16" s="9">
        <v>1253.1905305648397</v>
      </c>
      <c r="E16" s="23">
        <v>2.2366836862500001</v>
      </c>
      <c r="F16" s="16">
        <v>0.35044477924072698</v>
      </c>
    </row>
    <row r="17" spans="1:6" x14ac:dyDescent="0.25">
      <c r="A17" t="s">
        <v>89</v>
      </c>
      <c r="B17" t="s">
        <v>95</v>
      </c>
      <c r="C17" s="29">
        <v>542.75148703999923</v>
      </c>
      <c r="D17" s="9">
        <v>223.77242243490912</v>
      </c>
      <c r="E17" s="23">
        <v>2.2614645293333302</v>
      </c>
      <c r="F17" s="16">
        <v>0.93238509347878795</v>
      </c>
    </row>
    <row r="18" spans="1:6" x14ac:dyDescent="0.25">
      <c r="A18" t="s">
        <v>90</v>
      </c>
      <c r="B18" t="s">
        <v>95</v>
      </c>
      <c r="C18" s="29">
        <v>1562.4603739680019</v>
      </c>
      <c r="D18" s="9">
        <v>397.91198358611138</v>
      </c>
      <c r="E18" s="23">
        <v>2.71260481591667</v>
      </c>
      <c r="F18" s="16">
        <v>0.69081941594811003</v>
      </c>
    </row>
    <row r="19" spans="1:6" x14ac:dyDescent="0.25">
      <c r="F19" s="25"/>
    </row>
    <row r="20" spans="1:6" x14ac:dyDescent="0.25">
      <c r="A20" t="s">
        <v>86</v>
      </c>
      <c r="B20" t="s">
        <v>99</v>
      </c>
      <c r="C20" s="29">
        <v>8281.2073045499164</v>
      </c>
      <c r="D20" s="9">
        <v>802.36603958138119</v>
      </c>
      <c r="E20" s="23">
        <v>4.8915177245904697</v>
      </c>
      <c r="F20" s="16">
        <v>0.47393907191109702</v>
      </c>
    </row>
    <row r="21" spans="1:6" x14ac:dyDescent="0.25">
      <c r="A21" t="s">
        <v>88</v>
      </c>
      <c r="B21" t="s">
        <v>99</v>
      </c>
      <c r="C21" s="29">
        <v>11517.952514204007</v>
      </c>
      <c r="D21" s="9">
        <v>914.24628357845154</v>
      </c>
      <c r="E21" s="23">
        <v>4.7516305751666703</v>
      </c>
      <c r="F21" s="16">
        <v>0.37716430840695198</v>
      </c>
    </row>
    <row r="22" spans="1:6" x14ac:dyDescent="0.25">
      <c r="A22" t="s">
        <v>89</v>
      </c>
      <c r="B22" t="s">
        <v>99</v>
      </c>
      <c r="C22" s="29">
        <v>671.68258329600008</v>
      </c>
      <c r="D22" s="9">
        <v>165.90614520470592</v>
      </c>
      <c r="E22" s="23">
        <v>1.749173394</v>
      </c>
      <c r="F22" s="16">
        <v>0.43204725313725501</v>
      </c>
    </row>
    <row r="23" spans="1:6" x14ac:dyDescent="0.25">
      <c r="A23" t="s">
        <v>90</v>
      </c>
      <c r="B23" t="s">
        <v>99</v>
      </c>
      <c r="C23" s="29">
        <v>513.73235256799944</v>
      </c>
      <c r="D23" s="9">
        <v>743.83150480156996</v>
      </c>
      <c r="E23" s="23">
        <v>0.56330301816666595</v>
      </c>
      <c r="F23" s="16">
        <v>0.81560472017716001</v>
      </c>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624ED-6667-483A-B587-E290390B7A6E}">
  <dimension ref="A1:F41"/>
  <sheetViews>
    <sheetView workbookViewId="0">
      <selection activeCell="B32" sqref="B32"/>
    </sheetView>
  </sheetViews>
  <sheetFormatPr defaultRowHeight="15" x14ac:dyDescent="0.25"/>
  <cols>
    <col min="2" max="2" width="44.5703125" customWidth="1"/>
    <col min="3" max="3" width="22.5703125" customWidth="1"/>
    <col min="4" max="4" width="18.5703125" bestFit="1" customWidth="1"/>
    <col min="5" max="5" width="30.5703125" customWidth="1"/>
    <col min="6" max="6" width="17.85546875" customWidth="1"/>
  </cols>
  <sheetData>
    <row r="1" spans="2:6" x14ac:dyDescent="0.25">
      <c r="B1" t="s">
        <v>201</v>
      </c>
    </row>
    <row r="2" spans="2:6" ht="15.75" thickBot="1" x14ac:dyDescent="0.3">
      <c r="B2" s="32"/>
      <c r="C2" s="32"/>
      <c r="D2" s="32"/>
      <c r="E2" s="32"/>
      <c r="F2" s="32"/>
    </row>
    <row r="3" spans="2:6" s="40" customFormat="1" ht="24.75" customHeight="1" thickBot="1" x14ac:dyDescent="0.3">
      <c r="B3" s="41" t="s">
        <v>154</v>
      </c>
      <c r="C3" s="41" t="s">
        <v>151</v>
      </c>
      <c r="D3" s="41" t="s">
        <v>152</v>
      </c>
      <c r="E3" s="41" t="s">
        <v>153</v>
      </c>
      <c r="F3" s="41" t="s">
        <v>1</v>
      </c>
    </row>
    <row r="4" spans="2:6" ht="15.75" x14ac:dyDescent="0.25">
      <c r="B4" s="34" t="s">
        <v>213</v>
      </c>
      <c r="C4" s="34" t="s">
        <v>155</v>
      </c>
      <c r="D4" s="35">
        <v>1666</v>
      </c>
      <c r="E4" s="34" t="s">
        <v>7</v>
      </c>
      <c r="F4" s="34" t="s">
        <v>43</v>
      </c>
    </row>
    <row r="5" spans="2:6" ht="15.75" x14ac:dyDescent="0.25">
      <c r="B5" s="34" t="s">
        <v>213</v>
      </c>
      <c r="C5" s="34" t="s">
        <v>155</v>
      </c>
      <c r="D5" s="35">
        <v>16519.999999999996</v>
      </c>
      <c r="E5" s="34" t="s">
        <v>7</v>
      </c>
      <c r="F5" s="34" t="s">
        <v>43</v>
      </c>
    </row>
    <row r="6" spans="2:6" ht="15.75" x14ac:dyDescent="0.25">
      <c r="B6" s="34" t="s">
        <v>213</v>
      </c>
      <c r="C6" s="34" t="s">
        <v>155</v>
      </c>
      <c r="D6" s="35">
        <v>1778</v>
      </c>
      <c r="E6" s="34" t="s">
        <v>7</v>
      </c>
      <c r="F6" s="34" t="s">
        <v>43</v>
      </c>
    </row>
    <row r="7" spans="2:6" ht="15.75" x14ac:dyDescent="0.25">
      <c r="B7" s="34" t="s">
        <v>213</v>
      </c>
      <c r="C7" s="34" t="s">
        <v>155</v>
      </c>
      <c r="D7" s="35">
        <v>1736.0000000000002</v>
      </c>
      <c r="E7" s="34" t="s">
        <v>7</v>
      </c>
      <c r="F7" s="34" t="s">
        <v>43</v>
      </c>
    </row>
    <row r="8" spans="2:6" ht="15.75" x14ac:dyDescent="0.25">
      <c r="B8" s="34" t="s">
        <v>212</v>
      </c>
      <c r="C8" s="34" t="s">
        <v>155</v>
      </c>
      <c r="D8" s="35">
        <v>42.000000000000007</v>
      </c>
      <c r="E8" s="34" t="s">
        <v>20</v>
      </c>
      <c r="F8" s="34" t="s">
        <v>43</v>
      </c>
    </row>
    <row r="9" spans="2:6" ht="15.75" x14ac:dyDescent="0.25">
      <c r="B9" s="67" t="s">
        <v>215</v>
      </c>
      <c r="C9" s="34" t="s">
        <v>155</v>
      </c>
      <c r="D9" s="36">
        <v>3835.6164383561645</v>
      </c>
      <c r="E9" s="34" t="s">
        <v>25</v>
      </c>
      <c r="F9" s="34" t="s">
        <v>45</v>
      </c>
    </row>
    <row r="10" spans="2:6" ht="15.75" x14ac:dyDescent="0.25">
      <c r="B10" s="67" t="s">
        <v>216</v>
      </c>
      <c r="C10" s="34" t="s">
        <v>155</v>
      </c>
      <c r="D10" s="36">
        <v>153424.65753424657</v>
      </c>
      <c r="E10" s="34" t="s">
        <v>25</v>
      </c>
      <c r="F10" s="34" t="s">
        <v>45</v>
      </c>
    </row>
    <row r="11" spans="2:6" ht="15.75" x14ac:dyDescent="0.25">
      <c r="B11" s="34" t="s">
        <v>210</v>
      </c>
      <c r="C11" s="34" t="s">
        <v>155</v>
      </c>
      <c r="D11" s="36">
        <v>4909.58904109589</v>
      </c>
      <c r="E11" s="34" t="s">
        <v>32</v>
      </c>
      <c r="F11" s="34" t="s">
        <v>45</v>
      </c>
    </row>
    <row r="12" spans="2:6" ht="15.75" x14ac:dyDescent="0.25">
      <c r="B12" s="34" t="s">
        <v>39</v>
      </c>
      <c r="C12" s="34" t="s">
        <v>155</v>
      </c>
      <c r="D12" s="35">
        <v>419.99999999999994</v>
      </c>
      <c r="E12" s="34" t="s">
        <v>36</v>
      </c>
      <c r="F12" s="34" t="s">
        <v>43</v>
      </c>
    </row>
    <row r="13" spans="2:6" ht="15.75" x14ac:dyDescent="0.25">
      <c r="B13" s="34" t="s">
        <v>39</v>
      </c>
      <c r="C13" s="34" t="s">
        <v>155</v>
      </c>
      <c r="D13" s="35">
        <v>5600.0000000000009</v>
      </c>
      <c r="E13" s="34" t="s">
        <v>36</v>
      </c>
      <c r="F13" s="34" t="s">
        <v>43</v>
      </c>
    </row>
    <row r="14" spans="2:6" ht="15.75" x14ac:dyDescent="0.25">
      <c r="B14" s="34" t="s">
        <v>211</v>
      </c>
      <c r="C14" s="34" t="s">
        <v>155</v>
      </c>
      <c r="D14" s="36">
        <v>3835.6164383561645</v>
      </c>
      <c r="E14" s="34" t="s">
        <v>40</v>
      </c>
      <c r="F14" s="34" t="s">
        <v>45</v>
      </c>
    </row>
    <row r="15" spans="2:6" ht="15.75" x14ac:dyDescent="0.25">
      <c r="B15" s="34" t="s">
        <v>214</v>
      </c>
      <c r="C15" s="34" t="s">
        <v>155</v>
      </c>
      <c r="D15" s="36">
        <v>16332.640374034931</v>
      </c>
      <c r="E15" s="34" t="s">
        <v>167</v>
      </c>
      <c r="F15" s="34" t="s">
        <v>45</v>
      </c>
    </row>
    <row r="16" spans="2:6" ht="15.75" x14ac:dyDescent="0.25">
      <c r="B16" s="34" t="s">
        <v>217</v>
      </c>
      <c r="C16" s="34" t="s">
        <v>155</v>
      </c>
      <c r="D16" s="36">
        <v>321.9961628281618</v>
      </c>
      <c r="E16" s="34" t="s">
        <v>167</v>
      </c>
      <c r="F16" s="34" t="s">
        <v>45</v>
      </c>
    </row>
    <row r="17" spans="1:6" ht="15.75" x14ac:dyDescent="0.25">
      <c r="B17" s="34" t="s">
        <v>218</v>
      </c>
      <c r="C17" s="34" t="s">
        <v>155</v>
      </c>
      <c r="D17" s="36">
        <v>604.91619627631917</v>
      </c>
      <c r="E17" s="34" t="s">
        <v>167</v>
      </c>
      <c r="F17" s="34" t="s">
        <v>45</v>
      </c>
    </row>
    <row r="18" spans="1:6" ht="15.75" x14ac:dyDescent="0.25">
      <c r="B18" s="34" t="s">
        <v>219</v>
      </c>
      <c r="C18" s="34" t="s">
        <v>155</v>
      </c>
      <c r="D18" s="36">
        <v>405.90886157235138</v>
      </c>
      <c r="E18" s="34" t="s">
        <v>167</v>
      </c>
      <c r="F18" s="34" t="s">
        <v>45</v>
      </c>
    </row>
    <row r="19" spans="1:6" ht="15.75" x14ac:dyDescent="0.25">
      <c r="A19" s="3"/>
      <c r="B19" s="34" t="s">
        <v>220</v>
      </c>
      <c r="C19" s="34" t="s">
        <v>156</v>
      </c>
      <c r="D19" s="34">
        <v>43200</v>
      </c>
      <c r="E19" s="34" t="s">
        <v>46</v>
      </c>
      <c r="F19" s="34" t="s">
        <v>45</v>
      </c>
    </row>
    <row r="20" spans="1:6" ht="15.75" x14ac:dyDescent="0.25">
      <c r="A20" s="3"/>
      <c r="B20" s="34" t="s">
        <v>220</v>
      </c>
      <c r="C20" s="34" t="s">
        <v>156</v>
      </c>
      <c r="D20" s="34">
        <v>422400</v>
      </c>
      <c r="E20" s="34" t="s">
        <v>46</v>
      </c>
      <c r="F20" s="34" t="s">
        <v>45</v>
      </c>
    </row>
    <row r="21" spans="1:6" ht="15.75" x14ac:dyDescent="0.25">
      <c r="A21" s="3"/>
      <c r="B21" s="34" t="s">
        <v>221</v>
      </c>
      <c r="C21" s="34" t="s">
        <v>156</v>
      </c>
      <c r="D21" s="34">
        <v>500</v>
      </c>
      <c r="E21" s="34" t="s">
        <v>51</v>
      </c>
      <c r="F21" s="34" t="s">
        <v>45</v>
      </c>
    </row>
    <row r="22" spans="1:6" ht="15.75" x14ac:dyDescent="0.25">
      <c r="A22" s="3"/>
      <c r="B22" s="34" t="s">
        <v>222</v>
      </c>
      <c r="C22" s="34" t="s">
        <v>156</v>
      </c>
      <c r="D22" s="34">
        <v>1152000</v>
      </c>
      <c r="E22" s="34" t="s">
        <v>59</v>
      </c>
      <c r="F22" s="34" t="s">
        <v>45</v>
      </c>
    </row>
    <row r="23" spans="1:6" ht="15.75" x14ac:dyDescent="0.25">
      <c r="A23" s="3"/>
      <c r="B23" s="34" t="s">
        <v>223</v>
      </c>
      <c r="C23" s="34" t="s">
        <v>156</v>
      </c>
      <c r="D23" s="34">
        <v>386400.00000000006</v>
      </c>
      <c r="E23" s="34" t="s">
        <v>59</v>
      </c>
      <c r="F23" s="34" t="s">
        <v>45</v>
      </c>
    </row>
    <row r="24" spans="1:6" ht="15.75" x14ac:dyDescent="0.25">
      <c r="A24" s="3"/>
      <c r="B24" s="34" t="s">
        <v>224</v>
      </c>
      <c r="C24" s="34" t="s">
        <v>156</v>
      </c>
      <c r="D24" s="34">
        <v>1344000</v>
      </c>
      <c r="E24" s="34" t="s">
        <v>67</v>
      </c>
      <c r="F24" s="34" t="s">
        <v>45</v>
      </c>
    </row>
    <row r="25" spans="1:6" ht="15.75" x14ac:dyDescent="0.25">
      <c r="A25" s="3"/>
      <c r="B25" s="34" t="s">
        <v>225</v>
      </c>
      <c r="C25" s="34" t="s">
        <v>156</v>
      </c>
      <c r="D25" s="34">
        <v>8400000.0000000019</v>
      </c>
      <c r="E25" s="34" t="s">
        <v>67</v>
      </c>
      <c r="F25" s="34" t="s">
        <v>45</v>
      </c>
    </row>
    <row r="26" spans="1:6" ht="15.75" x14ac:dyDescent="0.25">
      <c r="A26" s="3"/>
      <c r="B26" s="34" t="s">
        <v>226</v>
      </c>
      <c r="C26" s="34" t="s">
        <v>156</v>
      </c>
      <c r="D26" s="34">
        <v>18816000</v>
      </c>
      <c r="E26" s="34" t="s">
        <v>67</v>
      </c>
      <c r="F26" s="34" t="s">
        <v>45</v>
      </c>
    </row>
    <row r="27" spans="1:6" ht="15.75" x14ac:dyDescent="0.25">
      <c r="A27" s="3"/>
      <c r="B27" s="34" t="s">
        <v>227</v>
      </c>
      <c r="C27" s="34" t="s">
        <v>156</v>
      </c>
      <c r="D27" s="34">
        <v>16224</v>
      </c>
      <c r="E27" s="34" t="s">
        <v>80</v>
      </c>
      <c r="F27" s="34" t="s">
        <v>45</v>
      </c>
    </row>
    <row r="28" spans="1:6" ht="15.75" x14ac:dyDescent="0.25">
      <c r="A28" s="3"/>
      <c r="B28" s="34" t="s">
        <v>228</v>
      </c>
      <c r="C28" s="34" t="s">
        <v>156</v>
      </c>
      <c r="D28" s="34">
        <v>3624</v>
      </c>
      <c r="E28" s="34" t="s">
        <v>80</v>
      </c>
      <c r="F28" s="34" t="s">
        <v>45</v>
      </c>
    </row>
    <row r="29" spans="1:6" ht="15.75" x14ac:dyDescent="0.25">
      <c r="A29" s="3"/>
      <c r="B29" s="34" t="s">
        <v>230</v>
      </c>
      <c r="C29" s="34" t="s">
        <v>156</v>
      </c>
      <c r="D29" s="35">
        <v>5.17</v>
      </c>
      <c r="E29" s="34" t="s">
        <v>134</v>
      </c>
      <c r="F29" s="34" t="s">
        <v>130</v>
      </c>
    </row>
    <row r="30" spans="1:6" ht="15.75" x14ac:dyDescent="0.25">
      <c r="B30" s="34" t="s">
        <v>230</v>
      </c>
      <c r="C30" s="34" t="s">
        <v>156</v>
      </c>
      <c r="D30" s="35">
        <v>7.8</v>
      </c>
      <c r="E30" s="34" t="s">
        <v>134</v>
      </c>
      <c r="F30" s="34" t="s">
        <v>130</v>
      </c>
    </row>
    <row r="31" spans="1:6" ht="15.75" x14ac:dyDescent="0.25">
      <c r="B31" s="34" t="s">
        <v>229</v>
      </c>
      <c r="C31" s="34" t="s">
        <v>156</v>
      </c>
      <c r="D31" s="34">
        <v>124.80000000000001</v>
      </c>
      <c r="E31" s="34" t="s">
        <v>139</v>
      </c>
      <c r="F31" s="34" t="s">
        <v>45</v>
      </c>
    </row>
    <row r="32" spans="1:6" ht="15.75" x14ac:dyDescent="0.25">
      <c r="B32" s="34" t="s">
        <v>231</v>
      </c>
      <c r="C32" s="34" t="s">
        <v>156</v>
      </c>
      <c r="D32" s="34">
        <v>432</v>
      </c>
      <c r="E32" s="34" t="s">
        <v>142</v>
      </c>
      <c r="F32" s="34" t="s">
        <v>144</v>
      </c>
    </row>
    <row r="33" spans="2:6" s="33" customFormat="1" ht="15.75" x14ac:dyDescent="0.25">
      <c r="B33" s="34" t="s">
        <v>231</v>
      </c>
      <c r="C33" s="37" t="s">
        <v>156</v>
      </c>
      <c r="D33" s="37">
        <v>2712</v>
      </c>
      <c r="E33" s="37" t="s">
        <v>142</v>
      </c>
      <c r="F33" s="37" t="s">
        <v>144</v>
      </c>
    </row>
    <row r="34" spans="2:6" ht="15.75" x14ac:dyDescent="0.25">
      <c r="B34" s="34" t="s">
        <v>214</v>
      </c>
      <c r="C34" s="37" t="s">
        <v>156</v>
      </c>
      <c r="D34" s="36">
        <v>2844.7014871814199</v>
      </c>
      <c r="E34" s="34" t="s">
        <v>167</v>
      </c>
      <c r="F34" s="37" t="s">
        <v>144</v>
      </c>
    </row>
    <row r="35" spans="2:6" ht="15.75" x14ac:dyDescent="0.25">
      <c r="B35" s="34" t="s">
        <v>217</v>
      </c>
      <c r="C35" s="37" t="s">
        <v>156</v>
      </c>
      <c r="D35" s="36">
        <v>59657.373206622004</v>
      </c>
      <c r="E35" s="34" t="s">
        <v>167</v>
      </c>
      <c r="F35" s="37" t="s">
        <v>144</v>
      </c>
    </row>
    <row r="36" spans="2:6" ht="15.75" x14ac:dyDescent="0.25">
      <c r="B36" s="34" t="s">
        <v>218</v>
      </c>
      <c r="C36" s="37" t="s">
        <v>156</v>
      </c>
      <c r="D36" s="36">
        <v>436.82540374999917</v>
      </c>
      <c r="E36" s="34" t="s">
        <v>167</v>
      </c>
      <c r="F36" s="37" t="s">
        <v>144</v>
      </c>
    </row>
    <row r="37" spans="2:6" ht="15.75" x14ac:dyDescent="0.25">
      <c r="B37" s="34" t="s">
        <v>219</v>
      </c>
      <c r="C37" s="37" t="s">
        <v>156</v>
      </c>
      <c r="D37" s="36">
        <v>873.45899003999796</v>
      </c>
      <c r="E37" s="34" t="s">
        <v>167</v>
      </c>
      <c r="F37" s="37" t="s">
        <v>144</v>
      </c>
    </row>
    <row r="38" spans="2:6" ht="15.75" x14ac:dyDescent="0.25">
      <c r="B38" s="34" t="s">
        <v>214</v>
      </c>
      <c r="C38" s="34" t="s">
        <v>172</v>
      </c>
      <c r="D38" s="36">
        <v>20220.770788367859</v>
      </c>
      <c r="E38" s="34" t="s">
        <v>167</v>
      </c>
      <c r="F38" s="37" t="s">
        <v>144</v>
      </c>
    </row>
    <row r="39" spans="2:6" ht="15.75" x14ac:dyDescent="0.25">
      <c r="B39" s="34" t="s">
        <v>217</v>
      </c>
      <c r="C39" s="34" t="s">
        <v>172</v>
      </c>
      <c r="D39" s="36">
        <v>29985.732236282998</v>
      </c>
      <c r="E39" s="34" t="s">
        <v>167</v>
      </c>
      <c r="F39" s="37" t="s">
        <v>144</v>
      </c>
    </row>
    <row r="40" spans="2:6" ht="15.75" x14ac:dyDescent="0.25">
      <c r="B40" s="34" t="s">
        <v>218</v>
      </c>
      <c r="C40" s="34" t="s">
        <v>172</v>
      </c>
      <c r="D40" s="36">
        <v>7954.058239248001</v>
      </c>
      <c r="E40" s="34" t="s">
        <v>167</v>
      </c>
      <c r="F40" s="37" t="s">
        <v>144</v>
      </c>
    </row>
    <row r="41" spans="2:6" ht="16.5" thickBot="1" x14ac:dyDescent="0.3">
      <c r="B41" s="38" t="s">
        <v>219</v>
      </c>
      <c r="C41" s="38" t="s">
        <v>172</v>
      </c>
      <c r="D41" s="39">
        <v>16168.806415747673</v>
      </c>
      <c r="E41" s="38" t="s">
        <v>167</v>
      </c>
      <c r="F41" s="38" t="s">
        <v>144</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89EE6-C07E-4711-B4CE-0238B2F75910}">
  <dimension ref="B1:F28"/>
  <sheetViews>
    <sheetView workbookViewId="0">
      <selection activeCell="J15" sqref="J15"/>
    </sheetView>
  </sheetViews>
  <sheetFormatPr defaultRowHeight="15" x14ac:dyDescent="0.25"/>
  <cols>
    <col min="2" max="2" width="37.7109375" customWidth="1"/>
    <col min="3" max="3" width="22.5703125" customWidth="1"/>
    <col min="4" max="4" width="18.5703125" bestFit="1" customWidth="1"/>
    <col min="5" max="5" width="27.5703125" customWidth="1"/>
    <col min="6" max="6" width="30.5703125" customWidth="1"/>
    <col min="7" max="7" width="17.85546875" customWidth="1"/>
  </cols>
  <sheetData>
    <row r="1" spans="2:6" x14ac:dyDescent="0.25">
      <c r="B1" t="s">
        <v>201</v>
      </c>
    </row>
    <row r="2" spans="2:6" ht="15.75" thickBot="1" x14ac:dyDescent="0.3">
      <c r="B2" s="32"/>
      <c r="C2" s="32"/>
      <c r="D2" s="32"/>
      <c r="E2" s="32"/>
      <c r="F2" s="32"/>
    </row>
    <row r="3" spans="2:6" ht="24" customHeight="1" thickBot="1" x14ac:dyDescent="0.3">
      <c r="B3" s="41" t="s">
        <v>154</v>
      </c>
      <c r="C3" s="41" t="s">
        <v>151</v>
      </c>
      <c r="D3" s="41" t="s">
        <v>238</v>
      </c>
      <c r="E3" s="41" t="s">
        <v>153</v>
      </c>
      <c r="F3" s="41" t="s">
        <v>1</v>
      </c>
    </row>
    <row r="4" spans="2:6" ht="15.75" x14ac:dyDescent="0.25">
      <c r="B4" s="42" t="s">
        <v>211</v>
      </c>
      <c r="C4" s="42" t="s">
        <v>155</v>
      </c>
      <c r="D4" s="43">
        <v>139.99999999999997</v>
      </c>
      <c r="E4" s="42" t="s">
        <v>103</v>
      </c>
      <c r="F4" s="42" t="s">
        <v>43</v>
      </c>
    </row>
    <row r="5" spans="2:6" ht="15.75" x14ac:dyDescent="0.25">
      <c r="B5" s="42" t="s">
        <v>232</v>
      </c>
      <c r="C5" s="42" t="s">
        <v>155</v>
      </c>
      <c r="D5" s="45">
        <v>5.8333333333333348</v>
      </c>
      <c r="E5" s="42" t="s">
        <v>108</v>
      </c>
      <c r="F5" s="42" t="s">
        <v>43</v>
      </c>
    </row>
    <row r="6" spans="2:6" ht="15.75" x14ac:dyDescent="0.25">
      <c r="B6" s="42" t="s">
        <v>232</v>
      </c>
      <c r="C6" s="42" t="s">
        <v>155</v>
      </c>
      <c r="D6" s="45">
        <v>145.83333333333334</v>
      </c>
      <c r="E6" s="42" t="s">
        <v>108</v>
      </c>
      <c r="F6" s="42" t="s">
        <v>43</v>
      </c>
    </row>
    <row r="7" spans="2:6" ht="15.75" x14ac:dyDescent="0.25">
      <c r="B7" s="42" t="s">
        <v>233</v>
      </c>
      <c r="C7" s="42" t="s">
        <v>155</v>
      </c>
      <c r="D7" s="45">
        <v>2.3333333333333335</v>
      </c>
      <c r="E7" s="42" t="s">
        <v>109</v>
      </c>
      <c r="F7" s="42" t="s">
        <v>43</v>
      </c>
    </row>
    <row r="8" spans="2:6" ht="15.75" x14ac:dyDescent="0.25">
      <c r="B8" s="42" t="s">
        <v>234</v>
      </c>
      <c r="C8" s="42" t="s">
        <v>155</v>
      </c>
      <c r="D8" s="45">
        <v>61.833333333333336</v>
      </c>
      <c r="E8" s="42" t="s">
        <v>110</v>
      </c>
      <c r="F8" s="42" t="s">
        <v>43</v>
      </c>
    </row>
    <row r="9" spans="2:6" ht="15.75" x14ac:dyDescent="0.25">
      <c r="B9" s="42" t="s">
        <v>235</v>
      </c>
      <c r="C9" s="42" t="s">
        <v>155</v>
      </c>
      <c r="D9" s="43">
        <v>350</v>
      </c>
      <c r="E9" s="42" t="s">
        <v>121</v>
      </c>
      <c r="F9" s="42" t="s">
        <v>43</v>
      </c>
    </row>
    <row r="10" spans="2:6" ht="15.75" x14ac:dyDescent="0.25">
      <c r="B10" s="34" t="s">
        <v>214</v>
      </c>
      <c r="C10" s="42" t="s">
        <v>155</v>
      </c>
      <c r="D10" s="44">
        <v>0.36513299533978999</v>
      </c>
      <c r="E10" s="42" t="s">
        <v>167</v>
      </c>
      <c r="F10" s="42" t="s">
        <v>43</v>
      </c>
    </row>
    <row r="11" spans="2:6" ht="15.75" x14ac:dyDescent="0.25">
      <c r="B11" s="34" t="s">
        <v>217</v>
      </c>
      <c r="C11" s="42" t="s">
        <v>155</v>
      </c>
      <c r="D11" s="44">
        <v>0.92866674797747795</v>
      </c>
      <c r="E11" s="42" t="s">
        <v>167</v>
      </c>
      <c r="F11" s="42" t="s">
        <v>43</v>
      </c>
    </row>
    <row r="12" spans="2:6" ht="15.75" x14ac:dyDescent="0.25">
      <c r="B12" s="34" t="s">
        <v>218</v>
      </c>
      <c r="C12" s="42" t="s">
        <v>155</v>
      </c>
      <c r="D12" s="44">
        <v>1.1642327735563101</v>
      </c>
      <c r="E12" s="42" t="s">
        <v>167</v>
      </c>
      <c r="F12" s="42" t="s">
        <v>43</v>
      </c>
    </row>
    <row r="13" spans="2:6" ht="15.75" x14ac:dyDescent="0.25">
      <c r="B13" s="34" t="s">
        <v>219</v>
      </c>
      <c r="C13" s="42" t="s">
        <v>155</v>
      </c>
      <c r="D13" s="44">
        <v>0.59246895163063096</v>
      </c>
      <c r="E13" s="42" t="s">
        <v>167</v>
      </c>
      <c r="F13" s="42" t="s">
        <v>43</v>
      </c>
    </row>
    <row r="14" spans="2:6" ht="15.75" x14ac:dyDescent="0.25">
      <c r="B14" s="42" t="s">
        <v>236</v>
      </c>
      <c r="C14" s="42" t="s">
        <v>156</v>
      </c>
      <c r="D14" s="43">
        <v>10.499999999999998</v>
      </c>
      <c r="E14" s="42" t="s">
        <v>128</v>
      </c>
      <c r="F14" s="42" t="s">
        <v>43</v>
      </c>
    </row>
    <row r="15" spans="2:6" ht="15.75" x14ac:dyDescent="0.25">
      <c r="B15" s="42" t="s">
        <v>236</v>
      </c>
      <c r="C15" s="42" t="s">
        <v>156</v>
      </c>
      <c r="D15" s="49">
        <v>289.91666666666669</v>
      </c>
      <c r="E15" s="42" t="s">
        <v>128</v>
      </c>
      <c r="F15" s="42" t="s">
        <v>43</v>
      </c>
    </row>
    <row r="16" spans="2:6" ht="15.75" x14ac:dyDescent="0.25">
      <c r="B16" s="42" t="s">
        <v>236</v>
      </c>
      <c r="C16" s="42" t="s">
        <v>156</v>
      </c>
      <c r="D16" s="43">
        <v>0.84</v>
      </c>
      <c r="E16" s="42" t="s">
        <v>134</v>
      </c>
      <c r="F16" s="42" t="s">
        <v>43</v>
      </c>
    </row>
    <row r="17" spans="2:6" ht="15.75" x14ac:dyDescent="0.25">
      <c r="B17" s="42" t="s">
        <v>236</v>
      </c>
      <c r="C17" s="42" t="s">
        <v>156</v>
      </c>
      <c r="D17" s="43">
        <v>1.69</v>
      </c>
      <c r="E17" s="42" t="s">
        <v>134</v>
      </c>
      <c r="F17" s="42" t="s">
        <v>43</v>
      </c>
    </row>
    <row r="18" spans="2:6" ht="15.75" x14ac:dyDescent="0.25">
      <c r="B18" s="42" t="s">
        <v>237</v>
      </c>
      <c r="C18" s="42" t="s">
        <v>156</v>
      </c>
      <c r="D18" s="42">
        <v>93.6</v>
      </c>
      <c r="E18" s="42" t="s">
        <v>139</v>
      </c>
      <c r="F18" s="42" t="s">
        <v>141</v>
      </c>
    </row>
    <row r="19" spans="2:6" ht="15.75" x14ac:dyDescent="0.25">
      <c r="B19" s="34" t="s">
        <v>231</v>
      </c>
      <c r="C19" s="42" t="s">
        <v>156</v>
      </c>
      <c r="D19" s="42">
        <v>16.799999999999997</v>
      </c>
      <c r="E19" s="42" t="s">
        <v>142</v>
      </c>
      <c r="F19" s="42" t="s">
        <v>141</v>
      </c>
    </row>
    <row r="20" spans="2:6" ht="15.75" x14ac:dyDescent="0.25">
      <c r="B20" s="34" t="s">
        <v>231</v>
      </c>
      <c r="C20" s="42" t="s">
        <v>156</v>
      </c>
      <c r="D20" s="42">
        <v>220.79999999999998</v>
      </c>
      <c r="E20" s="42" t="s">
        <v>142</v>
      </c>
      <c r="F20" s="42" t="s">
        <v>141</v>
      </c>
    </row>
    <row r="21" spans="2:6" ht="15.75" x14ac:dyDescent="0.25">
      <c r="B21" s="34" t="s">
        <v>214</v>
      </c>
      <c r="C21" s="42" t="s">
        <v>156</v>
      </c>
      <c r="D21" s="46">
        <v>1302.263210656761</v>
      </c>
      <c r="E21" s="42" t="s">
        <v>167</v>
      </c>
      <c r="F21" s="42" t="s">
        <v>141</v>
      </c>
    </row>
    <row r="22" spans="2:6" ht="15.75" x14ac:dyDescent="0.25">
      <c r="B22" s="34" t="s">
        <v>217</v>
      </c>
      <c r="C22" s="42" t="s">
        <v>156</v>
      </c>
      <c r="D22" s="46">
        <v>7998.3808620300006</v>
      </c>
      <c r="E22" s="42" t="s">
        <v>167</v>
      </c>
      <c r="F22" s="42" t="s">
        <v>141</v>
      </c>
    </row>
    <row r="23" spans="2:6" ht="15.75" x14ac:dyDescent="0.25">
      <c r="B23" s="34" t="s">
        <v>218</v>
      </c>
      <c r="C23" s="42" t="s">
        <v>156</v>
      </c>
      <c r="D23" s="46">
        <v>542.75148703999923</v>
      </c>
      <c r="E23" s="42" t="s">
        <v>167</v>
      </c>
      <c r="F23" s="42" t="s">
        <v>141</v>
      </c>
    </row>
    <row r="24" spans="2:6" ht="15.75" x14ac:dyDescent="0.25">
      <c r="B24" s="34" t="s">
        <v>219</v>
      </c>
      <c r="C24" s="42" t="s">
        <v>156</v>
      </c>
      <c r="D24" s="46">
        <v>1562.4603739680019</v>
      </c>
      <c r="E24" s="42" t="s">
        <v>167</v>
      </c>
      <c r="F24" s="42" t="s">
        <v>141</v>
      </c>
    </row>
    <row r="25" spans="2:6" ht="15.75" x14ac:dyDescent="0.25">
      <c r="B25" s="34" t="s">
        <v>214</v>
      </c>
      <c r="C25" s="42" t="s">
        <v>172</v>
      </c>
      <c r="D25" s="46">
        <v>8281.2073045499164</v>
      </c>
      <c r="E25" s="42" t="s">
        <v>167</v>
      </c>
      <c r="F25" s="42" t="s">
        <v>141</v>
      </c>
    </row>
    <row r="26" spans="2:6" ht="15.75" x14ac:dyDescent="0.25">
      <c r="B26" s="34" t="s">
        <v>217</v>
      </c>
      <c r="C26" s="42" t="s">
        <v>172</v>
      </c>
      <c r="D26" s="46">
        <v>11517.952514204007</v>
      </c>
      <c r="E26" s="42" t="s">
        <v>167</v>
      </c>
      <c r="F26" s="42" t="s">
        <v>141</v>
      </c>
    </row>
    <row r="27" spans="2:6" ht="15.75" x14ac:dyDescent="0.25">
      <c r="B27" s="34" t="s">
        <v>218</v>
      </c>
      <c r="C27" s="42" t="s">
        <v>172</v>
      </c>
      <c r="D27" s="46">
        <v>671.68258329600008</v>
      </c>
      <c r="E27" s="42" t="s">
        <v>167</v>
      </c>
      <c r="F27" s="42" t="s">
        <v>141</v>
      </c>
    </row>
    <row r="28" spans="2:6" ht="16.5" thickBot="1" x14ac:dyDescent="0.3">
      <c r="B28" s="38" t="s">
        <v>219</v>
      </c>
      <c r="C28" s="47" t="s">
        <v>172</v>
      </c>
      <c r="D28" s="48">
        <v>513.73235256799944</v>
      </c>
      <c r="E28" s="47" t="s">
        <v>167</v>
      </c>
      <c r="F28" s="47" t="s">
        <v>141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ED6DF-01DD-4813-A999-CBE9A835C3D1}">
  <dimension ref="A1:G14"/>
  <sheetViews>
    <sheetView workbookViewId="0">
      <selection activeCell="C14" sqref="C14"/>
    </sheetView>
  </sheetViews>
  <sheetFormatPr defaultRowHeight="15" x14ac:dyDescent="0.25"/>
  <sheetData>
    <row r="1" spans="1:7" s="1" customFormat="1" x14ac:dyDescent="0.25">
      <c r="A1" s="1" t="s">
        <v>5</v>
      </c>
      <c r="B1" s="1" t="s">
        <v>5</v>
      </c>
      <c r="C1" s="1" t="s">
        <v>0</v>
      </c>
      <c r="D1" s="1" t="s">
        <v>1</v>
      </c>
      <c r="E1" s="1" t="s">
        <v>2</v>
      </c>
      <c r="F1" s="1" t="s">
        <v>3</v>
      </c>
      <c r="G1" s="1" t="s">
        <v>16</v>
      </c>
    </row>
    <row r="2" spans="1:7" x14ac:dyDescent="0.25">
      <c r="A2" t="s">
        <v>15</v>
      </c>
      <c r="B2" t="s">
        <v>11</v>
      </c>
      <c r="C2">
        <v>0.108</v>
      </c>
      <c r="D2" t="s">
        <v>4</v>
      </c>
      <c r="E2" t="s">
        <v>7</v>
      </c>
      <c r="F2" t="s">
        <v>6</v>
      </c>
      <c r="G2" t="s">
        <v>17</v>
      </c>
    </row>
    <row r="3" spans="1:7" x14ac:dyDescent="0.25">
      <c r="A3" t="s">
        <v>15</v>
      </c>
      <c r="B3" t="s">
        <v>12</v>
      </c>
      <c r="C3">
        <v>6.4000000000000001E-2</v>
      </c>
      <c r="D3" t="s">
        <v>4</v>
      </c>
      <c r="E3" t="s">
        <v>7</v>
      </c>
      <c r="F3" t="s">
        <v>6</v>
      </c>
      <c r="G3" t="s">
        <v>17</v>
      </c>
    </row>
    <row r="4" spans="1:7" x14ac:dyDescent="0.25">
      <c r="A4" t="s">
        <v>18</v>
      </c>
      <c r="B4" t="s">
        <v>13</v>
      </c>
      <c r="C4">
        <v>1.0999999999999999E-2</v>
      </c>
      <c r="D4" t="s">
        <v>4</v>
      </c>
      <c r="E4" t="s">
        <v>7</v>
      </c>
      <c r="F4" t="s">
        <v>6</v>
      </c>
      <c r="G4" t="s">
        <v>17</v>
      </c>
    </row>
    <row r="14" spans="1:7" x14ac:dyDescent="0.25">
      <c r="C14" t="s">
        <v>150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C0D8A-1734-4C41-A434-A2D1D533BE33}">
  <dimension ref="A1:J58"/>
  <sheetViews>
    <sheetView topLeftCell="B1" workbookViewId="0">
      <selection activeCell="D23" sqref="D23"/>
    </sheetView>
  </sheetViews>
  <sheetFormatPr defaultRowHeight="15" x14ac:dyDescent="0.25"/>
  <cols>
    <col min="2" max="2" width="37.7109375" customWidth="1"/>
    <col min="3" max="3" width="22.5703125" customWidth="1"/>
    <col min="4" max="4" width="18.5703125" bestFit="1" customWidth="1"/>
    <col min="5" max="5" width="18.5703125" customWidth="1"/>
    <col min="6" max="6" width="30.5703125" customWidth="1"/>
    <col min="7" max="7" width="17.85546875" customWidth="1"/>
    <col min="9" max="9" width="15.42578125" customWidth="1"/>
  </cols>
  <sheetData>
    <row r="1" spans="2:10" x14ac:dyDescent="0.25">
      <c r="B1" t="s">
        <v>201</v>
      </c>
    </row>
    <row r="2" spans="2:10" ht="15.75" thickBot="1" x14ac:dyDescent="0.3">
      <c r="B2" s="32"/>
      <c r="C2" s="32"/>
      <c r="D2" s="32"/>
      <c r="E2" s="32"/>
      <c r="F2" s="32"/>
      <c r="G2" s="32"/>
    </row>
    <row r="3" spans="2:10" s="40" customFormat="1" ht="24.75" customHeight="1" thickBot="1" x14ac:dyDescent="0.3">
      <c r="B3" s="41" t="s">
        <v>154</v>
      </c>
      <c r="C3" s="41" t="s">
        <v>151</v>
      </c>
      <c r="D3" s="41" t="s">
        <v>152</v>
      </c>
      <c r="E3" s="41" t="s">
        <v>192</v>
      </c>
      <c r="F3" s="41" t="s">
        <v>153</v>
      </c>
      <c r="G3" s="41" t="s">
        <v>1</v>
      </c>
      <c r="J3" s="77" t="s">
        <v>208</v>
      </c>
    </row>
    <row r="4" spans="2:10" ht="15.75" x14ac:dyDescent="0.25">
      <c r="B4" s="53" t="s">
        <v>14</v>
      </c>
      <c r="C4" s="53" t="s">
        <v>155</v>
      </c>
      <c r="D4" s="54">
        <v>1666</v>
      </c>
      <c r="E4" s="54">
        <f>LOG(D4)</f>
        <v>3.2216749970707688</v>
      </c>
      <c r="F4" s="53" t="s">
        <v>7</v>
      </c>
      <c r="G4" s="53" t="s">
        <v>43</v>
      </c>
    </row>
    <row r="5" spans="2:10" ht="15.75" x14ac:dyDescent="0.25">
      <c r="B5" s="53" t="s">
        <v>14</v>
      </c>
      <c r="C5" s="53" t="s">
        <v>155</v>
      </c>
      <c r="D5" s="54">
        <v>16519.999999999996</v>
      </c>
      <c r="E5" s="54">
        <f t="shared" ref="E5:E42" si="0">LOG(D5)</f>
        <v>4.2180100429843632</v>
      </c>
      <c r="F5" s="53" t="s">
        <v>7</v>
      </c>
      <c r="G5" s="53" t="s">
        <v>43</v>
      </c>
    </row>
    <row r="6" spans="2:10" ht="15.75" x14ac:dyDescent="0.25">
      <c r="B6" s="53" t="s">
        <v>14</v>
      </c>
      <c r="C6" s="53" t="s">
        <v>155</v>
      </c>
      <c r="D6" s="54">
        <v>1778</v>
      </c>
      <c r="E6" s="54">
        <f t="shared" si="0"/>
        <v>3.249931756634195</v>
      </c>
      <c r="F6" s="53" t="s">
        <v>7</v>
      </c>
      <c r="G6" s="53" t="s">
        <v>43</v>
      </c>
    </row>
    <row r="7" spans="2:10" ht="15.75" x14ac:dyDescent="0.25">
      <c r="B7" s="53" t="s">
        <v>14</v>
      </c>
      <c r="C7" s="53" t="s">
        <v>155</v>
      </c>
      <c r="D7" s="54">
        <v>1736.0000000000002</v>
      </c>
      <c r="E7" s="54">
        <f t="shared" si="0"/>
        <v>3.2395497208404733</v>
      </c>
      <c r="F7" s="53" t="s">
        <v>7</v>
      </c>
      <c r="G7" s="53" t="s">
        <v>43</v>
      </c>
    </row>
    <row r="8" spans="2:10" ht="15.75" x14ac:dyDescent="0.25">
      <c r="B8" s="53" t="s">
        <v>23</v>
      </c>
      <c r="C8" s="53" t="s">
        <v>155</v>
      </c>
      <c r="D8" s="54">
        <v>42.000000000000007</v>
      </c>
      <c r="E8" s="54">
        <f t="shared" si="0"/>
        <v>1.6232492903979006</v>
      </c>
      <c r="F8" s="53" t="s">
        <v>20</v>
      </c>
      <c r="G8" s="53" t="s">
        <v>43</v>
      </c>
    </row>
    <row r="9" spans="2:10" ht="15.75" x14ac:dyDescent="0.25">
      <c r="B9" s="34" t="s">
        <v>26</v>
      </c>
      <c r="C9" s="34" t="s">
        <v>155</v>
      </c>
      <c r="D9" s="36">
        <v>3835.6164383561645</v>
      </c>
      <c r="E9" s="54">
        <f t="shared" si="0"/>
        <v>3.5838351712217635</v>
      </c>
      <c r="F9" s="34" t="s">
        <v>25</v>
      </c>
      <c r="G9" s="34" t="s">
        <v>45</v>
      </c>
    </row>
    <row r="10" spans="2:10" ht="15.75" x14ac:dyDescent="0.25">
      <c r="B10" s="34" t="s">
        <v>26</v>
      </c>
      <c r="C10" s="34" t="s">
        <v>155</v>
      </c>
      <c r="D10" s="36">
        <v>153424.65753424657</v>
      </c>
      <c r="E10" s="54">
        <f t="shared" si="0"/>
        <v>5.185895162549726</v>
      </c>
      <c r="F10" s="34" t="s">
        <v>25</v>
      </c>
      <c r="G10" s="34" t="s">
        <v>45</v>
      </c>
    </row>
    <row r="11" spans="2:10" ht="15.75" x14ac:dyDescent="0.25">
      <c r="B11" s="34" t="s">
        <v>33</v>
      </c>
      <c r="C11" s="34" t="s">
        <v>155</v>
      </c>
      <c r="D11" s="36">
        <v>4909.58904109589</v>
      </c>
      <c r="E11" s="54">
        <f t="shared" si="0"/>
        <v>3.6910451408696319</v>
      </c>
      <c r="F11" s="34" t="s">
        <v>32</v>
      </c>
      <c r="G11" s="34" t="s">
        <v>45</v>
      </c>
    </row>
    <row r="12" spans="2:10" ht="15.75" x14ac:dyDescent="0.25">
      <c r="B12" s="53" t="s">
        <v>39</v>
      </c>
      <c r="C12" s="53" t="s">
        <v>155</v>
      </c>
      <c r="D12" s="8">
        <v>312479.99999999994</v>
      </c>
      <c r="E12" s="54">
        <f t="shared" si="0"/>
        <v>5.4948222259437793</v>
      </c>
      <c r="F12" s="53" t="s">
        <v>36</v>
      </c>
      <c r="G12" s="34" t="s">
        <v>45</v>
      </c>
      <c r="H12" s="54">
        <v>419.99999999999994</v>
      </c>
      <c r="I12" s="53" t="s">
        <v>43</v>
      </c>
    </row>
    <row r="13" spans="2:10" ht="15.75" x14ac:dyDescent="0.25">
      <c r="B13" s="53" t="s">
        <v>39</v>
      </c>
      <c r="C13" s="53" t="s">
        <v>155</v>
      </c>
      <c r="D13" s="8">
        <v>1545600.0000000005</v>
      </c>
      <c r="E13" s="54">
        <f t="shared" si="0"/>
        <v>6.189097109071418</v>
      </c>
      <c r="F13" s="53" t="s">
        <v>36</v>
      </c>
      <c r="G13" s="34" t="s">
        <v>45</v>
      </c>
      <c r="H13" s="54">
        <v>5600.0000000000009</v>
      </c>
      <c r="I13" s="53" t="s">
        <v>43</v>
      </c>
    </row>
    <row r="14" spans="2:10" ht="15.75" x14ac:dyDescent="0.25">
      <c r="B14" s="34" t="s">
        <v>41</v>
      </c>
      <c r="C14" s="34" t="s">
        <v>155</v>
      </c>
      <c r="D14" s="36">
        <v>3835.6164383561645</v>
      </c>
      <c r="E14" s="54">
        <f t="shared" si="0"/>
        <v>3.5838351712217635</v>
      </c>
      <c r="F14" s="34" t="s">
        <v>40</v>
      </c>
      <c r="G14" s="34" t="s">
        <v>45</v>
      </c>
    </row>
    <row r="15" spans="2:10" ht="15.75" x14ac:dyDescent="0.25">
      <c r="B15" s="34" t="s">
        <v>168</v>
      </c>
      <c r="C15" s="34" t="s">
        <v>155</v>
      </c>
      <c r="D15" s="36">
        <v>16332.640374034931</v>
      </c>
      <c r="E15" s="54">
        <f t="shared" si="0"/>
        <v>4.2130563995057679</v>
      </c>
      <c r="F15" s="34" t="s">
        <v>167</v>
      </c>
      <c r="G15" s="34" t="s">
        <v>45</v>
      </c>
    </row>
    <row r="16" spans="2:10" ht="15.75" x14ac:dyDescent="0.25">
      <c r="B16" s="34" t="s">
        <v>169</v>
      </c>
      <c r="C16" s="34" t="s">
        <v>155</v>
      </c>
      <c r="D16" s="36">
        <v>321.9961628281618</v>
      </c>
      <c r="E16" s="54">
        <f t="shared" si="0"/>
        <v>2.507850696315443</v>
      </c>
      <c r="F16" s="34" t="s">
        <v>167</v>
      </c>
      <c r="G16" s="34" t="s">
        <v>45</v>
      </c>
    </row>
    <row r="17" spans="1:7" ht="15.75" x14ac:dyDescent="0.25">
      <c r="B17" s="37" t="s">
        <v>170</v>
      </c>
      <c r="C17" s="37" t="s">
        <v>155</v>
      </c>
      <c r="D17" s="50">
        <v>604.91619627631917</v>
      </c>
      <c r="E17" s="54">
        <f t="shared" si="0"/>
        <v>2.781695212643021</v>
      </c>
      <c r="F17" s="37" t="s">
        <v>167</v>
      </c>
      <c r="G17" s="37" t="s">
        <v>45</v>
      </c>
    </row>
    <row r="18" spans="1:7" ht="15.75" x14ac:dyDescent="0.25">
      <c r="B18" s="51" t="s">
        <v>171</v>
      </c>
      <c r="C18" s="51" t="s">
        <v>155</v>
      </c>
      <c r="D18" s="52">
        <v>405.90886157235138</v>
      </c>
      <c r="E18" s="54">
        <f t="shared" si="0"/>
        <v>2.6084285326919181</v>
      </c>
      <c r="F18" s="51" t="s">
        <v>167</v>
      </c>
      <c r="G18" s="51" t="s">
        <v>45</v>
      </c>
    </row>
    <row r="19" spans="1:7" ht="15.75" x14ac:dyDescent="0.25">
      <c r="A19" s="3"/>
      <c r="B19" s="34" t="s">
        <v>157</v>
      </c>
      <c r="C19" s="34" t="s">
        <v>156</v>
      </c>
      <c r="D19" s="34">
        <v>43200</v>
      </c>
      <c r="E19" s="54">
        <f t="shared" si="0"/>
        <v>4.6354837468149119</v>
      </c>
      <c r="F19" s="34" t="s">
        <v>46</v>
      </c>
      <c r="G19" s="34" t="s">
        <v>45</v>
      </c>
    </row>
    <row r="20" spans="1:7" ht="15.75" x14ac:dyDescent="0.25">
      <c r="A20" s="3"/>
      <c r="B20" s="34" t="s">
        <v>157</v>
      </c>
      <c r="C20" s="34" t="s">
        <v>156</v>
      </c>
      <c r="D20" s="34">
        <v>422400</v>
      </c>
      <c r="E20" s="54">
        <f t="shared" si="0"/>
        <v>5.6257239095257559</v>
      </c>
      <c r="F20" s="34" t="s">
        <v>46</v>
      </c>
      <c r="G20" s="34" t="s">
        <v>45</v>
      </c>
    </row>
    <row r="21" spans="1:7" ht="15.75" x14ac:dyDescent="0.25">
      <c r="A21" s="3"/>
      <c r="B21" s="34" t="s">
        <v>158</v>
      </c>
      <c r="C21" s="34" t="s">
        <v>156</v>
      </c>
      <c r="D21" s="34">
        <v>500</v>
      </c>
      <c r="E21" s="54">
        <f t="shared" si="0"/>
        <v>2.6989700043360187</v>
      </c>
      <c r="F21" s="34" t="s">
        <v>51</v>
      </c>
      <c r="G21" s="34" t="s">
        <v>45</v>
      </c>
    </row>
    <row r="22" spans="1:7" ht="15.75" x14ac:dyDescent="0.25">
      <c r="A22" s="3"/>
      <c r="B22" s="34" t="s">
        <v>159</v>
      </c>
      <c r="C22" s="34" t="s">
        <v>156</v>
      </c>
      <c r="D22" s="34"/>
      <c r="E22" s="54" t="e">
        <f t="shared" si="0"/>
        <v>#NUM!</v>
      </c>
      <c r="F22" s="34" t="s">
        <v>51</v>
      </c>
      <c r="G22" s="34" t="s">
        <v>45</v>
      </c>
    </row>
    <row r="23" spans="1:7" ht="15.75" x14ac:dyDescent="0.25">
      <c r="A23" s="3"/>
      <c r="B23" s="34" t="s">
        <v>160</v>
      </c>
      <c r="C23" s="34" t="s">
        <v>156</v>
      </c>
      <c r="D23" s="34">
        <v>1152000</v>
      </c>
      <c r="E23" s="54">
        <f t="shared" si="0"/>
        <v>6.0614524790871931</v>
      </c>
      <c r="F23" s="34" t="s">
        <v>59</v>
      </c>
      <c r="G23" s="34" t="s">
        <v>45</v>
      </c>
    </row>
    <row r="24" spans="1:7" ht="15.75" x14ac:dyDescent="0.25">
      <c r="A24" s="3"/>
      <c r="B24" s="34" t="s">
        <v>161</v>
      </c>
      <c r="C24" s="34" t="s">
        <v>156</v>
      </c>
      <c r="D24" s="34">
        <v>386400.00000000006</v>
      </c>
      <c r="E24" s="54">
        <f t="shared" si="0"/>
        <v>5.5870371177434555</v>
      </c>
      <c r="F24" s="34" t="s">
        <v>59</v>
      </c>
      <c r="G24" s="34" t="s">
        <v>45</v>
      </c>
    </row>
    <row r="25" spans="1:7" ht="15.75" x14ac:dyDescent="0.25">
      <c r="A25" s="3"/>
      <c r="B25" s="34" t="s">
        <v>162</v>
      </c>
      <c r="C25" s="34" t="s">
        <v>156</v>
      </c>
      <c r="D25" s="34">
        <v>1344000</v>
      </c>
      <c r="E25" s="54">
        <f t="shared" si="0"/>
        <v>6.1283992687178062</v>
      </c>
      <c r="F25" s="34" t="s">
        <v>67</v>
      </c>
      <c r="G25" s="34" t="s">
        <v>45</v>
      </c>
    </row>
    <row r="26" spans="1:7" ht="15.75" x14ac:dyDescent="0.25">
      <c r="A26" s="3"/>
      <c r="B26" s="34" t="s">
        <v>163</v>
      </c>
      <c r="C26" s="34" t="s">
        <v>156</v>
      </c>
      <c r="D26" s="34">
        <v>8400000.0000000019</v>
      </c>
      <c r="E26" s="54">
        <f t="shared" si="0"/>
        <v>6.924279286061882</v>
      </c>
      <c r="F26" s="34" t="s">
        <v>67</v>
      </c>
      <c r="G26" s="34" t="s">
        <v>45</v>
      </c>
    </row>
    <row r="27" spans="1:7" ht="15.75" x14ac:dyDescent="0.25">
      <c r="A27" s="3"/>
      <c r="B27" s="34" t="s">
        <v>164</v>
      </c>
      <c r="C27" s="34" t="s">
        <v>156</v>
      </c>
      <c r="D27" s="34">
        <v>18816000</v>
      </c>
      <c r="E27" s="54">
        <f t="shared" si="0"/>
        <v>7.2745273043960443</v>
      </c>
      <c r="F27" s="34" t="s">
        <v>67</v>
      </c>
      <c r="G27" s="34" t="s">
        <v>45</v>
      </c>
    </row>
    <row r="28" spans="1:7" ht="15.75" x14ac:dyDescent="0.25">
      <c r="A28" s="3"/>
      <c r="B28" s="34" t="s">
        <v>77</v>
      </c>
      <c r="C28" s="34" t="s">
        <v>156</v>
      </c>
      <c r="D28" s="34">
        <v>16224</v>
      </c>
      <c r="E28" s="54">
        <f t="shared" si="0"/>
        <v>4.2101579376532419</v>
      </c>
      <c r="F28" s="34" t="s">
        <v>80</v>
      </c>
      <c r="G28" s="34" t="s">
        <v>45</v>
      </c>
    </row>
    <row r="29" spans="1:7" ht="15.75" x14ac:dyDescent="0.25">
      <c r="A29" s="3"/>
      <c r="B29" s="34" t="s">
        <v>78</v>
      </c>
      <c r="C29" s="34" t="s">
        <v>156</v>
      </c>
      <c r="D29" s="34">
        <v>3624</v>
      </c>
      <c r="E29" s="54">
        <f t="shared" si="0"/>
        <v>3.5591881890047756</v>
      </c>
      <c r="F29" s="34" t="s">
        <v>80</v>
      </c>
      <c r="G29" s="34" t="s">
        <v>45</v>
      </c>
    </row>
    <row r="30" spans="1:7" ht="15.75" x14ac:dyDescent="0.25">
      <c r="A30" s="3"/>
      <c r="B30" s="53" t="s">
        <v>133</v>
      </c>
      <c r="C30" s="53" t="s">
        <v>156</v>
      </c>
      <c r="D30" s="54">
        <v>5.17</v>
      </c>
      <c r="E30" s="54">
        <f t="shared" si="0"/>
        <v>0.71349054309394255</v>
      </c>
      <c r="F30" s="53" t="s">
        <v>134</v>
      </c>
      <c r="G30" s="53" t="s">
        <v>130</v>
      </c>
    </row>
    <row r="31" spans="1:7" ht="15.75" x14ac:dyDescent="0.25">
      <c r="B31" s="53" t="s">
        <v>133</v>
      </c>
      <c r="C31" s="53" t="s">
        <v>156</v>
      </c>
      <c r="D31" s="54">
        <v>7.8</v>
      </c>
      <c r="E31" s="54">
        <f t="shared" si="0"/>
        <v>0.89209460269048035</v>
      </c>
      <c r="F31" s="53" t="s">
        <v>134</v>
      </c>
      <c r="G31" s="53" t="s">
        <v>130</v>
      </c>
    </row>
    <row r="32" spans="1:7" ht="15.75" x14ac:dyDescent="0.25">
      <c r="B32" s="34" t="s">
        <v>165</v>
      </c>
      <c r="C32" s="34" t="s">
        <v>156</v>
      </c>
      <c r="D32" s="34">
        <v>124.80000000000001</v>
      </c>
      <c r="E32" s="54">
        <f t="shared" si="0"/>
        <v>2.0962145853464054</v>
      </c>
      <c r="F32" s="34" t="s">
        <v>139</v>
      </c>
      <c r="G32" s="34" t="s">
        <v>45</v>
      </c>
    </row>
    <row r="33" spans="2:7" ht="15.75" x14ac:dyDescent="0.25">
      <c r="B33" s="34" t="s">
        <v>146</v>
      </c>
      <c r="C33" s="34" t="s">
        <v>156</v>
      </c>
      <c r="D33" s="34">
        <v>432</v>
      </c>
      <c r="E33" s="54">
        <f t="shared" si="0"/>
        <v>2.6354837468149119</v>
      </c>
      <c r="F33" s="34" t="s">
        <v>142</v>
      </c>
      <c r="G33" s="34" t="s">
        <v>144</v>
      </c>
    </row>
    <row r="34" spans="2:7" s="33" customFormat="1" ht="15.75" x14ac:dyDescent="0.25">
      <c r="B34" s="37" t="s">
        <v>166</v>
      </c>
      <c r="C34" s="37" t="s">
        <v>156</v>
      </c>
      <c r="D34" s="37">
        <v>2712</v>
      </c>
      <c r="E34" s="54">
        <f t="shared" si="0"/>
        <v>3.4332896851950259</v>
      </c>
      <c r="F34" s="37" t="s">
        <v>142</v>
      </c>
      <c r="G34" s="37" t="s">
        <v>144</v>
      </c>
    </row>
    <row r="35" spans="2:7" ht="15.75" x14ac:dyDescent="0.25">
      <c r="B35" s="34" t="s">
        <v>168</v>
      </c>
      <c r="C35" s="37" t="s">
        <v>156</v>
      </c>
      <c r="D35" s="36">
        <v>2844.7014871814199</v>
      </c>
      <c r="E35" s="54">
        <f t="shared" si="0"/>
        <v>3.4540366998095582</v>
      </c>
      <c r="F35" s="34" t="s">
        <v>167</v>
      </c>
      <c r="G35" s="37" t="s">
        <v>144</v>
      </c>
    </row>
    <row r="36" spans="2:7" ht="15.75" x14ac:dyDescent="0.25">
      <c r="B36" s="34" t="s">
        <v>169</v>
      </c>
      <c r="C36" s="37" t="s">
        <v>156</v>
      </c>
      <c r="D36" s="36">
        <v>59657.373206622004</v>
      </c>
      <c r="E36" s="54">
        <f t="shared" si="0"/>
        <v>4.775664126884168</v>
      </c>
      <c r="F36" s="34" t="s">
        <v>167</v>
      </c>
      <c r="G36" s="37" t="s">
        <v>144</v>
      </c>
    </row>
    <row r="37" spans="2:7" ht="15.75" x14ac:dyDescent="0.25">
      <c r="B37" s="34" t="s">
        <v>170</v>
      </c>
      <c r="C37" s="37" t="s">
        <v>156</v>
      </c>
      <c r="D37" s="36">
        <v>436.82540374999917</v>
      </c>
      <c r="E37" s="54">
        <f t="shared" si="0"/>
        <v>2.6403078869943739</v>
      </c>
      <c r="F37" s="34" t="s">
        <v>167</v>
      </c>
      <c r="G37" s="37" t="s">
        <v>144</v>
      </c>
    </row>
    <row r="38" spans="2:7" ht="15.75" x14ac:dyDescent="0.25">
      <c r="B38" s="34" t="s">
        <v>171</v>
      </c>
      <c r="C38" s="37" t="s">
        <v>156</v>
      </c>
      <c r="D38" s="36">
        <v>873.45899003999796</v>
      </c>
      <c r="E38" s="54">
        <f t="shared" si="0"/>
        <v>2.9412425191444389</v>
      </c>
      <c r="F38" s="34" t="s">
        <v>167</v>
      </c>
      <c r="G38" s="37" t="s">
        <v>144</v>
      </c>
    </row>
    <row r="39" spans="2:7" ht="15.75" x14ac:dyDescent="0.25">
      <c r="B39" s="34" t="s">
        <v>168</v>
      </c>
      <c r="C39" s="34" t="s">
        <v>172</v>
      </c>
      <c r="D39" s="36">
        <v>20220.770788367859</v>
      </c>
      <c r="E39" s="54">
        <f t="shared" si="0"/>
        <v>4.3057977062873611</v>
      </c>
      <c r="F39" s="34" t="s">
        <v>167</v>
      </c>
      <c r="G39" s="37" t="s">
        <v>144</v>
      </c>
    </row>
    <row r="40" spans="2:7" ht="15.75" x14ac:dyDescent="0.25">
      <c r="B40" s="34" t="s">
        <v>169</v>
      </c>
      <c r="C40" s="34" t="s">
        <v>172</v>
      </c>
      <c r="D40" s="36">
        <v>29985.732236282998</v>
      </c>
      <c r="E40" s="54">
        <f t="shared" si="0"/>
        <v>4.4769146585529658</v>
      </c>
      <c r="F40" s="34" t="s">
        <v>167</v>
      </c>
      <c r="G40" s="37" t="s">
        <v>144</v>
      </c>
    </row>
    <row r="41" spans="2:7" ht="15.75" x14ac:dyDescent="0.25">
      <c r="B41" s="34" t="s">
        <v>170</v>
      </c>
      <c r="C41" s="34" t="s">
        <v>172</v>
      </c>
      <c r="D41" s="36">
        <v>7954.058239248001</v>
      </c>
      <c r="E41" s="54">
        <f t="shared" si="0"/>
        <v>3.9005887665457926</v>
      </c>
      <c r="F41" s="34" t="s">
        <v>167</v>
      </c>
      <c r="G41" s="37" t="s">
        <v>144</v>
      </c>
    </row>
    <row r="42" spans="2:7" ht="16.5" thickBot="1" x14ac:dyDescent="0.3">
      <c r="B42" s="38" t="s">
        <v>171</v>
      </c>
      <c r="C42" s="38" t="s">
        <v>172</v>
      </c>
      <c r="D42" s="39">
        <v>16168.806415747673</v>
      </c>
      <c r="E42" s="54">
        <f t="shared" si="0"/>
        <v>4.2086779613914365</v>
      </c>
      <c r="F42" s="38" t="s">
        <v>167</v>
      </c>
      <c r="G42" s="38" t="s">
        <v>144</v>
      </c>
    </row>
    <row r="46" spans="2:7" x14ac:dyDescent="0.25">
      <c r="C46" s="62"/>
      <c r="D46" s="62"/>
      <c r="E46" s="62"/>
      <c r="F46" s="62"/>
      <c r="G46" s="62"/>
    </row>
    <row r="47" spans="2:7" x14ac:dyDescent="0.25">
      <c r="C47" s="62"/>
      <c r="D47" s="62" t="s">
        <v>194</v>
      </c>
      <c r="E47" s="62"/>
      <c r="F47" s="62"/>
      <c r="G47" s="62" t="s">
        <v>195</v>
      </c>
    </row>
    <row r="48" spans="2:7" x14ac:dyDescent="0.25">
      <c r="C48" s="62"/>
      <c r="D48" s="62"/>
      <c r="E48" s="62"/>
      <c r="F48" s="62"/>
      <c r="G48" s="62" t="s">
        <v>196</v>
      </c>
    </row>
    <row r="49" spans="3:7" x14ac:dyDescent="0.25">
      <c r="C49" s="62"/>
      <c r="D49" s="62" t="s">
        <v>193</v>
      </c>
      <c r="E49" s="62" t="s">
        <v>156</v>
      </c>
      <c r="F49" s="63"/>
      <c r="G49" s="62"/>
    </row>
    <row r="50" spans="3:7" x14ac:dyDescent="0.25">
      <c r="C50" s="63">
        <v>0</v>
      </c>
      <c r="D50" s="62">
        <v>3836</v>
      </c>
      <c r="E50" s="62">
        <v>124.8</v>
      </c>
      <c r="F50" s="63"/>
      <c r="G50" s="62" t="s">
        <v>197</v>
      </c>
    </row>
    <row r="51" spans="3:7" x14ac:dyDescent="0.25">
      <c r="C51" s="63">
        <v>0.25</v>
      </c>
      <c r="D51" s="62">
        <v>4104.5</v>
      </c>
      <c r="E51" s="62">
        <v>1002</v>
      </c>
      <c r="F51" s="63"/>
      <c r="G51" s="62" t="s">
        <v>198</v>
      </c>
    </row>
    <row r="52" spans="3:7" x14ac:dyDescent="0.25">
      <c r="C52" s="63">
        <v>0.5</v>
      </c>
      <c r="D52" s="62">
        <v>79167.5</v>
      </c>
      <c r="E52" s="62">
        <v>29712</v>
      </c>
      <c r="F52" s="63"/>
      <c r="G52" s="62"/>
    </row>
    <row r="53" spans="3:7" x14ac:dyDescent="0.25">
      <c r="C53" s="63">
        <v>0.75</v>
      </c>
      <c r="D53" s="62">
        <v>272716.2</v>
      </c>
      <c r="E53" s="62">
        <v>969600</v>
      </c>
      <c r="F53" s="63"/>
      <c r="G53" s="62" t="s">
        <v>199</v>
      </c>
    </row>
    <row r="54" spans="3:7" x14ac:dyDescent="0.25">
      <c r="C54" s="63">
        <v>1</v>
      </c>
      <c r="D54" s="62">
        <v>1545600</v>
      </c>
      <c r="E54" s="62">
        <v>18816000</v>
      </c>
      <c r="F54" s="63"/>
      <c r="G54" s="62" t="s">
        <v>200</v>
      </c>
    </row>
    <row r="55" spans="3:7" x14ac:dyDescent="0.25">
      <c r="C55" s="62"/>
      <c r="D55" s="62"/>
      <c r="E55" s="62"/>
      <c r="F55" s="62"/>
      <c r="G55" s="62"/>
    </row>
    <row r="56" spans="3:7" x14ac:dyDescent="0.25">
      <c r="C56" s="62"/>
      <c r="D56" s="62"/>
      <c r="E56" s="62"/>
      <c r="F56" s="62"/>
      <c r="G56" s="62"/>
    </row>
    <row r="57" spans="3:7" x14ac:dyDescent="0.25">
      <c r="C57" s="62"/>
      <c r="D57" s="62"/>
      <c r="E57" s="62"/>
      <c r="F57" s="62"/>
      <c r="G57" s="62"/>
    </row>
    <row r="58" spans="3:7" x14ac:dyDescent="0.25">
      <c r="C58" s="62"/>
      <c r="D58" s="62"/>
      <c r="E58" s="62"/>
      <c r="F58" s="62"/>
      <c r="G58" s="62"/>
    </row>
  </sheetData>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7DF20-4F95-4A89-9693-8425E8C21F0B}">
  <dimension ref="A1:N27"/>
  <sheetViews>
    <sheetView workbookViewId="0">
      <selection activeCell="J37" sqref="J37"/>
    </sheetView>
  </sheetViews>
  <sheetFormatPr defaultRowHeight="15" x14ac:dyDescent="0.25"/>
  <cols>
    <col min="1" max="1" width="29.85546875" bestFit="1" customWidth="1"/>
    <col min="2" max="2" width="11.5703125" bestFit="1" customWidth="1"/>
    <col min="4" max="4" width="15.140625" bestFit="1" customWidth="1"/>
    <col min="6" max="6" width="16" bestFit="1" customWidth="1"/>
    <col min="7" max="7" width="18.85546875" customWidth="1"/>
    <col min="10" max="10" width="25.7109375" bestFit="1" customWidth="1"/>
    <col min="13" max="14" width="12.85546875" customWidth="1"/>
  </cols>
  <sheetData>
    <row r="1" spans="1:14" x14ac:dyDescent="0.25">
      <c r="A1" t="s">
        <v>178</v>
      </c>
    </row>
    <row r="2" spans="1:14" x14ac:dyDescent="0.25">
      <c r="G2" t="s">
        <v>173</v>
      </c>
      <c r="H2" t="s">
        <v>174</v>
      </c>
      <c r="J2" t="s">
        <v>176</v>
      </c>
    </row>
    <row r="3" spans="1:14" s="3" customFormat="1" x14ac:dyDescent="0.25">
      <c r="A3" s="3" t="s">
        <v>39</v>
      </c>
      <c r="B3" s="3" t="s">
        <v>38</v>
      </c>
      <c r="C3" s="3">
        <v>0.03</v>
      </c>
      <c r="D3" s="3" t="s">
        <v>35</v>
      </c>
      <c r="E3" s="11">
        <f>(((C3/1000000)*14)*1000000000)</f>
        <v>419.99999999999994</v>
      </c>
      <c r="F3" s="11" t="s">
        <v>43</v>
      </c>
      <c r="G3" s="11">
        <v>0.62</v>
      </c>
      <c r="H3" s="11" t="s">
        <v>175</v>
      </c>
      <c r="I3" s="11"/>
      <c r="J3" s="11" t="s">
        <v>177</v>
      </c>
      <c r="K3" s="11"/>
      <c r="L3" s="11"/>
      <c r="M3" s="3" t="s">
        <v>36</v>
      </c>
      <c r="N3" s="55" t="s">
        <v>37</v>
      </c>
    </row>
    <row r="4" spans="1:14" s="3" customFormat="1" x14ac:dyDescent="0.25">
      <c r="A4" s="3" t="s">
        <v>39</v>
      </c>
      <c r="B4" s="3" t="s">
        <v>38</v>
      </c>
      <c r="C4" s="3">
        <v>0.4</v>
      </c>
      <c r="D4" s="3" t="s">
        <v>35</v>
      </c>
      <c r="E4" s="11">
        <f>(((C4/1000000)*14)*1000000000)</f>
        <v>5600.0000000000009</v>
      </c>
      <c r="F4" s="11" t="s">
        <v>43</v>
      </c>
      <c r="G4" s="11">
        <v>0.23</v>
      </c>
      <c r="H4" s="11" t="s">
        <v>175</v>
      </c>
      <c r="I4" s="11"/>
      <c r="J4" s="11" t="s">
        <v>177</v>
      </c>
      <c r="K4" s="11"/>
      <c r="L4" s="11"/>
      <c r="M4" s="3" t="s">
        <v>36</v>
      </c>
      <c r="N4" s="3" t="s">
        <v>37</v>
      </c>
    </row>
    <row r="5" spans="1:14" x14ac:dyDescent="0.25">
      <c r="I5" s="3" t="s">
        <v>180</v>
      </c>
    </row>
    <row r="6" spans="1:14" x14ac:dyDescent="0.25">
      <c r="I6" s="3"/>
    </row>
    <row r="7" spans="1:14" s="3" customFormat="1" x14ac:dyDescent="0.25">
      <c r="A7" s="3" t="s">
        <v>14</v>
      </c>
      <c r="B7" s="3" t="s">
        <v>8</v>
      </c>
      <c r="C7" s="3">
        <v>0.11899999999999999</v>
      </c>
      <c r="D7" s="3" t="s">
        <v>4</v>
      </c>
      <c r="E7" s="11">
        <f>(((C7/1000)*14)*1000000000)/1000</f>
        <v>1666</v>
      </c>
      <c r="F7" s="11" t="s">
        <v>43</v>
      </c>
      <c r="H7" s="3" t="s">
        <v>179</v>
      </c>
      <c r="I7" s="3">
        <v>30.1</v>
      </c>
      <c r="J7" s="3" t="s">
        <v>181</v>
      </c>
      <c r="M7" s="3" t="s">
        <v>7</v>
      </c>
      <c r="N7" s="3" t="s">
        <v>6</v>
      </c>
    </row>
    <row r="8" spans="1:14" s="3" customFormat="1" x14ac:dyDescent="0.25">
      <c r="A8" s="3" t="s">
        <v>14</v>
      </c>
      <c r="B8" s="3" t="s">
        <v>9</v>
      </c>
      <c r="C8" s="3">
        <v>0.127</v>
      </c>
      <c r="D8" s="3" t="s">
        <v>4</v>
      </c>
      <c r="E8" s="11">
        <f t="shared" ref="E8:E10" si="0">(((C8/1000)*14)*1000000000)/1000</f>
        <v>1778</v>
      </c>
      <c r="F8" s="11" t="s">
        <v>43</v>
      </c>
      <c r="H8" s="3" t="s">
        <v>179</v>
      </c>
      <c r="I8" s="3">
        <v>21.4</v>
      </c>
      <c r="J8" s="3" t="s">
        <v>181</v>
      </c>
      <c r="M8" s="3" t="s">
        <v>7</v>
      </c>
      <c r="N8" s="3" t="s">
        <v>6</v>
      </c>
    </row>
    <row r="9" spans="1:14" s="3" customFormat="1" x14ac:dyDescent="0.25">
      <c r="A9" s="3" t="s">
        <v>14</v>
      </c>
      <c r="B9" s="3" t="s">
        <v>10</v>
      </c>
      <c r="C9" s="3">
        <v>0.124</v>
      </c>
      <c r="D9" s="3" t="s">
        <v>4</v>
      </c>
      <c r="E9" s="11">
        <f t="shared" si="0"/>
        <v>1736.0000000000002</v>
      </c>
      <c r="F9" s="11" t="s">
        <v>43</v>
      </c>
      <c r="H9" s="3" t="s">
        <v>179</v>
      </c>
      <c r="I9" s="3">
        <v>26.3</v>
      </c>
      <c r="J9" s="3" t="s">
        <v>181</v>
      </c>
      <c r="M9" s="3" t="s">
        <v>7</v>
      </c>
      <c r="N9" s="3" t="s">
        <v>6</v>
      </c>
    </row>
    <row r="10" spans="1:14" s="3" customFormat="1" x14ac:dyDescent="0.25">
      <c r="A10" s="3" t="s">
        <v>14</v>
      </c>
      <c r="B10" s="3" t="s">
        <v>12</v>
      </c>
      <c r="C10" s="3">
        <v>6.4000000000000001E-2</v>
      </c>
      <c r="D10" s="3" t="s">
        <v>4</v>
      </c>
      <c r="E10" s="11">
        <f t="shared" si="0"/>
        <v>896</v>
      </c>
      <c r="F10" s="11" t="s">
        <v>43</v>
      </c>
      <c r="H10" s="3" t="s">
        <v>179</v>
      </c>
      <c r="I10" s="3">
        <v>18.7</v>
      </c>
      <c r="J10" s="3" t="s">
        <v>181</v>
      </c>
      <c r="M10" s="3" t="s">
        <v>7</v>
      </c>
      <c r="N10" s="3" t="s">
        <v>6</v>
      </c>
    </row>
    <row r="12" spans="1:14" x14ac:dyDescent="0.25">
      <c r="A12" s="4" t="s">
        <v>22</v>
      </c>
      <c r="C12" s="5">
        <v>3</v>
      </c>
      <c r="D12" s="3" t="s">
        <v>19</v>
      </c>
      <c r="E12" s="11">
        <f>(((C12/1000000)*14)*1000000000)/1000</f>
        <v>42.000000000000007</v>
      </c>
      <c r="F12" s="11" t="s">
        <v>43</v>
      </c>
      <c r="G12">
        <v>0.39</v>
      </c>
      <c r="H12" s="3" t="s">
        <v>183</v>
      </c>
      <c r="J12" s="3" t="s">
        <v>182</v>
      </c>
      <c r="M12" s="3" t="s">
        <v>20</v>
      </c>
      <c r="N12" s="55" t="s">
        <v>21</v>
      </c>
    </row>
    <row r="14" spans="1:14" x14ac:dyDescent="0.25">
      <c r="A14" s="3" t="s">
        <v>133</v>
      </c>
      <c r="B14" s="3" t="s">
        <v>132</v>
      </c>
      <c r="C14" s="3">
        <v>5.17</v>
      </c>
      <c r="D14" s="3" t="s">
        <v>130</v>
      </c>
      <c r="E14" s="26">
        <v>5.17</v>
      </c>
      <c r="F14" s="26" t="s">
        <v>130</v>
      </c>
      <c r="H14" s="3" t="s">
        <v>184</v>
      </c>
      <c r="M14" s="3" t="s">
        <v>134</v>
      </c>
      <c r="N14" s="55" t="s">
        <v>135</v>
      </c>
    </row>
    <row r="15" spans="1:14" x14ac:dyDescent="0.25">
      <c r="A15" s="3" t="s">
        <v>133</v>
      </c>
      <c r="B15" s="3" t="s">
        <v>132</v>
      </c>
      <c r="C15" s="3">
        <v>7.8</v>
      </c>
      <c r="D15" s="3" t="s">
        <v>130</v>
      </c>
      <c r="E15" s="26">
        <v>7.8</v>
      </c>
      <c r="F15" s="26" t="s">
        <v>130</v>
      </c>
      <c r="M15" s="3" t="s">
        <v>134</v>
      </c>
      <c r="N15" s="3" t="s">
        <v>135</v>
      </c>
    </row>
    <row r="21" spans="1:14" x14ac:dyDescent="0.25">
      <c r="A21" t="s">
        <v>82</v>
      </c>
      <c r="B21" t="s">
        <v>123</v>
      </c>
      <c r="C21" s="20" t="s">
        <v>185</v>
      </c>
      <c r="D21" t="s">
        <v>186</v>
      </c>
      <c r="E21" t="s">
        <v>187</v>
      </c>
      <c r="F21" t="s">
        <v>188</v>
      </c>
      <c r="G21" s="12" t="s">
        <v>93</v>
      </c>
      <c r="H21" s="13"/>
      <c r="I21" s="56" t="s">
        <v>189</v>
      </c>
      <c r="J21" s="57"/>
      <c r="K21" s="56" t="s">
        <v>190</v>
      </c>
      <c r="L21" s="57"/>
      <c r="M21" s="56" t="s">
        <v>191</v>
      </c>
      <c r="N21" s="57"/>
    </row>
    <row r="22" spans="1:14" x14ac:dyDescent="0.25">
      <c r="A22" s="3" t="s">
        <v>39</v>
      </c>
      <c r="B22" t="s">
        <v>87</v>
      </c>
      <c r="C22">
        <v>0.62</v>
      </c>
      <c r="D22">
        <v>5</v>
      </c>
      <c r="E22">
        <v>10000</v>
      </c>
      <c r="F22">
        <v>24</v>
      </c>
      <c r="G22" s="14">
        <v>419.99999999999994</v>
      </c>
      <c r="H22" s="13"/>
      <c r="I22" s="58">
        <f>G22*0.001</f>
        <v>0.41999999999999993</v>
      </c>
      <c r="J22" s="59"/>
      <c r="K22" s="60">
        <f>((D22*E22)*C22)*I22</f>
        <v>13019.999999999998</v>
      </c>
      <c r="L22" s="13"/>
      <c r="M22" s="60">
        <f>(((D22*E22)*C22)*I22)*F22</f>
        <v>312479.99999999994</v>
      </c>
      <c r="N22" s="13"/>
    </row>
    <row r="23" spans="1:14" x14ac:dyDescent="0.25">
      <c r="A23" s="3" t="s">
        <v>39</v>
      </c>
      <c r="B23" t="s">
        <v>87</v>
      </c>
      <c r="C23">
        <v>0.23</v>
      </c>
      <c r="D23">
        <v>5</v>
      </c>
      <c r="E23">
        <v>10000</v>
      </c>
      <c r="F23">
        <v>24</v>
      </c>
      <c r="G23" s="14">
        <v>5600.0000000000009</v>
      </c>
      <c r="H23" s="13"/>
      <c r="I23" s="58">
        <f t="shared" ref="I23:I27" si="1">G23*0.001</f>
        <v>5.6000000000000014</v>
      </c>
      <c r="J23" s="59"/>
      <c r="K23" s="60">
        <f>((D23*E23)*C23)*I23</f>
        <v>64400.000000000015</v>
      </c>
      <c r="L23" s="13"/>
      <c r="M23" s="60">
        <f>(((D23*E23)*C23)*I23)*F23</f>
        <v>1545600.0000000005</v>
      </c>
      <c r="N23" s="13"/>
    </row>
    <row r="24" spans="1:14" x14ac:dyDescent="0.25">
      <c r="A24" s="3" t="s">
        <v>14</v>
      </c>
      <c r="B24" t="s">
        <v>87</v>
      </c>
      <c r="C24" s="61"/>
      <c r="D24">
        <v>5</v>
      </c>
      <c r="E24">
        <v>10000</v>
      </c>
      <c r="F24">
        <v>24</v>
      </c>
      <c r="G24" s="14">
        <v>1666</v>
      </c>
      <c r="I24" s="58">
        <f t="shared" si="1"/>
        <v>1.6659999999999999</v>
      </c>
      <c r="K24" s="60">
        <f t="shared" ref="K24:K27" si="2">((D24*E24)*C24)*I24</f>
        <v>0</v>
      </c>
      <c r="M24" s="60">
        <f t="shared" ref="M24:M27" si="3">(((D24*E24)*C24)*I24)*F24</f>
        <v>0</v>
      </c>
    </row>
    <row r="25" spans="1:14" x14ac:dyDescent="0.25">
      <c r="A25" s="3" t="s">
        <v>14</v>
      </c>
      <c r="B25" t="s">
        <v>87</v>
      </c>
      <c r="C25" s="61"/>
      <c r="D25">
        <v>5</v>
      </c>
      <c r="E25">
        <v>10000</v>
      </c>
      <c r="F25">
        <v>24</v>
      </c>
      <c r="G25" s="14">
        <v>1778</v>
      </c>
      <c r="I25" s="58">
        <f t="shared" si="1"/>
        <v>1.778</v>
      </c>
      <c r="K25" s="60">
        <f t="shared" si="2"/>
        <v>0</v>
      </c>
      <c r="M25" s="60">
        <f t="shared" si="3"/>
        <v>0</v>
      </c>
    </row>
    <row r="26" spans="1:14" x14ac:dyDescent="0.25">
      <c r="A26" s="3" t="s">
        <v>14</v>
      </c>
      <c r="B26" t="s">
        <v>87</v>
      </c>
      <c r="C26" s="61"/>
      <c r="D26">
        <v>5</v>
      </c>
      <c r="E26">
        <v>10000</v>
      </c>
      <c r="F26">
        <v>24</v>
      </c>
      <c r="G26" s="14">
        <v>1736.0000000000002</v>
      </c>
      <c r="I26" s="58">
        <f t="shared" si="1"/>
        <v>1.7360000000000002</v>
      </c>
      <c r="K26" s="60">
        <f t="shared" si="2"/>
        <v>0</v>
      </c>
      <c r="M26" s="60">
        <f t="shared" si="3"/>
        <v>0</v>
      </c>
    </row>
    <row r="27" spans="1:14" x14ac:dyDescent="0.25">
      <c r="A27" s="3" t="s">
        <v>14</v>
      </c>
      <c r="B27" t="s">
        <v>87</v>
      </c>
      <c r="C27" s="61"/>
      <c r="D27">
        <v>5</v>
      </c>
      <c r="E27">
        <v>10000</v>
      </c>
      <c r="F27">
        <v>24</v>
      </c>
      <c r="G27" s="14">
        <v>896</v>
      </c>
      <c r="I27" s="58">
        <f t="shared" si="1"/>
        <v>0.89600000000000002</v>
      </c>
      <c r="K27" s="60">
        <f t="shared" si="2"/>
        <v>0</v>
      </c>
      <c r="M27" s="60">
        <f t="shared" si="3"/>
        <v>0</v>
      </c>
    </row>
  </sheetData>
  <hyperlinks>
    <hyperlink ref="N3" r:id="rId1" xr:uid="{13F0C79E-E340-4971-970F-B82A71315E9D}"/>
    <hyperlink ref="N12" r:id="rId2" xr:uid="{D48C5FC7-9411-4FEA-AC9A-E3D4C677DEE3}"/>
    <hyperlink ref="N14" r:id="rId3" xr:uid="{54C7447E-EC19-403C-A788-4E02FBF48251}"/>
  </hyperlinks>
  <pageMargins left="0.7" right="0.7" top="0.75" bottom="0.75" header="0.3" footer="0.3"/>
  <pageSetup orientation="portrait"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DBB79-9A01-4B87-A4F6-C9A73BA143E5}">
  <dimension ref="A3:G44"/>
  <sheetViews>
    <sheetView workbookViewId="0">
      <selection activeCell="H23" sqref="H23"/>
    </sheetView>
  </sheetViews>
  <sheetFormatPr defaultRowHeight="15" x14ac:dyDescent="0.25"/>
  <cols>
    <col min="1" max="1" width="36.140625" style="71" customWidth="1"/>
    <col min="2" max="3" width="20.28515625" bestFit="1" customWidth="1"/>
    <col min="4" max="4" width="28.7109375" bestFit="1" customWidth="1"/>
    <col min="5" max="5" width="16.5703125" bestFit="1" customWidth="1"/>
    <col min="6" max="6" width="20.28515625" style="15" customWidth="1"/>
    <col min="7" max="7" width="17.140625" style="21" customWidth="1"/>
  </cols>
  <sheetData>
    <row r="3" spans="1:7" ht="16.5" thickBot="1" x14ac:dyDescent="0.3">
      <c r="A3" s="68" t="s">
        <v>154</v>
      </c>
      <c r="B3" s="41" t="s">
        <v>151</v>
      </c>
      <c r="C3" s="41" t="s">
        <v>152</v>
      </c>
      <c r="D3" s="41" t="s">
        <v>153</v>
      </c>
      <c r="E3" s="41" t="s">
        <v>1</v>
      </c>
      <c r="F3" s="66" t="s">
        <v>202</v>
      </c>
      <c r="G3" s="64" t="s">
        <v>1</v>
      </c>
    </row>
    <row r="4" spans="1:7" ht="15.75" x14ac:dyDescent="0.25">
      <c r="A4" s="67" t="s">
        <v>14</v>
      </c>
      <c r="B4" s="34" t="s">
        <v>155</v>
      </c>
      <c r="C4" s="35">
        <v>1666</v>
      </c>
      <c r="D4" s="34" t="s">
        <v>7</v>
      </c>
      <c r="E4" s="34" t="s">
        <v>43</v>
      </c>
    </row>
    <row r="5" spans="1:7" ht="15.75" x14ac:dyDescent="0.25">
      <c r="A5" s="67" t="s">
        <v>14</v>
      </c>
      <c r="B5" s="34" t="s">
        <v>155</v>
      </c>
      <c r="C5" s="35">
        <v>16519.999999999996</v>
      </c>
      <c r="D5" s="34" t="s">
        <v>7</v>
      </c>
      <c r="E5" s="34" t="s">
        <v>43</v>
      </c>
    </row>
    <row r="6" spans="1:7" ht="15.75" x14ac:dyDescent="0.25">
      <c r="A6" s="67" t="s">
        <v>14</v>
      </c>
      <c r="B6" s="34" t="s">
        <v>155</v>
      </c>
      <c r="C6" s="35">
        <v>1778</v>
      </c>
      <c r="D6" s="34" t="s">
        <v>7</v>
      </c>
      <c r="E6" s="34" t="s">
        <v>43</v>
      </c>
    </row>
    <row r="7" spans="1:7" ht="15.75" x14ac:dyDescent="0.25">
      <c r="A7" s="67" t="s">
        <v>14</v>
      </c>
      <c r="B7" s="34" t="s">
        <v>155</v>
      </c>
      <c r="C7" s="35">
        <v>1736.0000000000002</v>
      </c>
      <c r="D7" s="34" t="s">
        <v>7</v>
      </c>
      <c r="E7" s="34" t="s">
        <v>43</v>
      </c>
    </row>
    <row r="8" spans="1:7" ht="15.75" x14ac:dyDescent="0.25">
      <c r="A8" s="67" t="s">
        <v>23</v>
      </c>
      <c r="B8" s="34" t="s">
        <v>155</v>
      </c>
      <c r="C8" s="35">
        <v>42.000000000000007</v>
      </c>
      <c r="D8" s="34" t="s">
        <v>20</v>
      </c>
      <c r="E8" s="34" t="s">
        <v>43</v>
      </c>
    </row>
    <row r="9" spans="1:7" ht="31.5" x14ac:dyDescent="0.25">
      <c r="A9" s="67" t="s">
        <v>203</v>
      </c>
      <c r="B9" s="34" t="s">
        <v>155</v>
      </c>
      <c r="C9" s="36">
        <v>3835.6164383561645</v>
      </c>
      <c r="D9" s="34" t="s">
        <v>25</v>
      </c>
      <c r="E9" s="34" t="s">
        <v>45</v>
      </c>
      <c r="F9" s="15">
        <v>3835.6164383561645</v>
      </c>
      <c r="G9" s="65" t="s">
        <v>45</v>
      </c>
    </row>
    <row r="10" spans="1:7" ht="15.75" x14ac:dyDescent="0.25">
      <c r="A10" s="67" t="s">
        <v>33</v>
      </c>
      <c r="B10" s="34" t="s">
        <v>155</v>
      </c>
      <c r="C10" s="36">
        <v>4909.58904109589</v>
      </c>
      <c r="D10" s="34" t="s">
        <v>32</v>
      </c>
      <c r="E10" s="34" t="s">
        <v>45</v>
      </c>
      <c r="F10" s="15">
        <v>4909.58904109589</v>
      </c>
      <c r="G10" s="65" t="s">
        <v>45</v>
      </c>
    </row>
    <row r="11" spans="1:7" ht="15.75" x14ac:dyDescent="0.25">
      <c r="A11" s="67" t="s">
        <v>41</v>
      </c>
      <c r="B11" s="34" t="s">
        <v>155</v>
      </c>
      <c r="C11" s="36">
        <v>3835.6164383561645</v>
      </c>
      <c r="D11" s="34" t="s">
        <v>40</v>
      </c>
      <c r="E11" s="34" t="s">
        <v>45</v>
      </c>
      <c r="F11" s="15">
        <v>3835.6164383561645</v>
      </c>
      <c r="G11" s="65" t="s">
        <v>45</v>
      </c>
    </row>
    <row r="12" spans="1:7" ht="15.75" x14ac:dyDescent="0.25">
      <c r="A12" s="67" t="s">
        <v>168</v>
      </c>
      <c r="B12" s="34" t="s">
        <v>155</v>
      </c>
      <c r="C12" s="36">
        <v>16332.640374034931</v>
      </c>
      <c r="D12" s="34" t="s">
        <v>167</v>
      </c>
      <c r="E12" s="34" t="s">
        <v>45</v>
      </c>
      <c r="F12" s="15">
        <v>16332.640374034931</v>
      </c>
      <c r="G12" s="65" t="s">
        <v>45</v>
      </c>
    </row>
    <row r="13" spans="1:7" ht="15.75" x14ac:dyDescent="0.25">
      <c r="A13" s="67" t="s">
        <v>169</v>
      </c>
      <c r="B13" s="34" t="s">
        <v>155</v>
      </c>
      <c r="C13" s="36">
        <v>321.9961628281618</v>
      </c>
      <c r="D13" s="34" t="s">
        <v>167</v>
      </c>
      <c r="E13" s="34" t="s">
        <v>45</v>
      </c>
      <c r="F13" s="15">
        <v>321.9961628281618</v>
      </c>
      <c r="G13" s="65" t="s">
        <v>45</v>
      </c>
    </row>
    <row r="14" spans="1:7" ht="15.75" x14ac:dyDescent="0.25">
      <c r="A14" s="69" t="s">
        <v>170</v>
      </c>
      <c r="B14" s="37" t="s">
        <v>155</v>
      </c>
      <c r="C14" s="50">
        <v>604.91619627631917</v>
      </c>
      <c r="D14" s="37" t="s">
        <v>167</v>
      </c>
      <c r="E14" s="37" t="s">
        <v>45</v>
      </c>
      <c r="F14" s="72">
        <v>604.91619627631917</v>
      </c>
      <c r="G14" s="73" t="s">
        <v>45</v>
      </c>
    </row>
    <row r="15" spans="1:7" ht="15.75" x14ac:dyDescent="0.25">
      <c r="A15" s="74" t="s">
        <v>171</v>
      </c>
      <c r="B15" s="51" t="s">
        <v>155</v>
      </c>
      <c r="C15" s="52">
        <v>405.90886157235138</v>
      </c>
      <c r="D15" s="51" t="s">
        <v>167</v>
      </c>
      <c r="E15" s="51" t="s">
        <v>45</v>
      </c>
      <c r="F15" s="75">
        <v>405.90886157235138</v>
      </c>
      <c r="G15" s="76" t="s">
        <v>45</v>
      </c>
    </row>
    <row r="16" spans="1:7" ht="15.75" x14ac:dyDescent="0.25">
      <c r="A16" s="67" t="s">
        <v>157</v>
      </c>
      <c r="B16" s="34" t="s">
        <v>156</v>
      </c>
      <c r="C16" s="34">
        <v>43200</v>
      </c>
      <c r="D16" s="34" t="s">
        <v>46</v>
      </c>
      <c r="E16" s="34" t="s">
        <v>45</v>
      </c>
      <c r="F16" s="15">
        <v>43200</v>
      </c>
      <c r="G16" s="65" t="s">
        <v>45</v>
      </c>
    </row>
    <row r="17" spans="1:7" ht="15.75" x14ac:dyDescent="0.25">
      <c r="A17" s="67" t="s">
        <v>157</v>
      </c>
      <c r="B17" s="34" t="s">
        <v>156</v>
      </c>
      <c r="C17" s="34">
        <v>422400</v>
      </c>
      <c r="D17" s="34" t="s">
        <v>46</v>
      </c>
      <c r="E17" s="34" t="s">
        <v>45</v>
      </c>
      <c r="F17" s="15">
        <v>422400</v>
      </c>
      <c r="G17" s="65" t="s">
        <v>45</v>
      </c>
    </row>
    <row r="18" spans="1:7" ht="15.75" x14ac:dyDescent="0.25">
      <c r="A18" s="67" t="s">
        <v>158</v>
      </c>
      <c r="B18" s="34" t="s">
        <v>156</v>
      </c>
      <c r="C18" s="34">
        <v>500</v>
      </c>
      <c r="D18" s="34" t="s">
        <v>51</v>
      </c>
      <c r="E18" s="34" t="s">
        <v>45</v>
      </c>
      <c r="F18" s="15">
        <v>500</v>
      </c>
      <c r="G18" s="65" t="s">
        <v>45</v>
      </c>
    </row>
    <row r="19" spans="1:7" ht="15.75" x14ac:dyDescent="0.25">
      <c r="A19" s="67" t="s">
        <v>160</v>
      </c>
      <c r="B19" s="34" t="s">
        <v>156</v>
      </c>
      <c r="C19" s="34">
        <v>1152000</v>
      </c>
      <c r="D19" s="34" t="s">
        <v>59</v>
      </c>
      <c r="E19" s="34" t="s">
        <v>45</v>
      </c>
      <c r="F19" s="15">
        <v>1152000</v>
      </c>
      <c r="G19" s="65" t="s">
        <v>45</v>
      </c>
    </row>
    <row r="20" spans="1:7" ht="15.75" x14ac:dyDescent="0.25">
      <c r="A20" s="67" t="s">
        <v>161</v>
      </c>
      <c r="B20" s="34" t="s">
        <v>156</v>
      </c>
      <c r="C20" s="34">
        <v>386400.00000000006</v>
      </c>
      <c r="D20" s="34" t="s">
        <v>59</v>
      </c>
      <c r="E20" s="34" t="s">
        <v>45</v>
      </c>
      <c r="F20" s="15">
        <v>386400.00000000006</v>
      </c>
      <c r="G20" s="65" t="s">
        <v>45</v>
      </c>
    </row>
    <row r="21" spans="1:7" ht="31.5" x14ac:dyDescent="0.25">
      <c r="A21" s="67" t="s">
        <v>162</v>
      </c>
      <c r="B21" s="34" t="s">
        <v>156</v>
      </c>
      <c r="C21" s="34">
        <v>1344000</v>
      </c>
      <c r="D21" s="34" t="s">
        <v>67</v>
      </c>
      <c r="E21" s="34" t="s">
        <v>45</v>
      </c>
      <c r="F21" s="15">
        <v>1344000</v>
      </c>
      <c r="G21" s="65" t="s">
        <v>45</v>
      </c>
    </row>
    <row r="22" spans="1:7" ht="15.75" x14ac:dyDescent="0.25">
      <c r="A22" s="67" t="s">
        <v>163</v>
      </c>
      <c r="B22" s="34" t="s">
        <v>156</v>
      </c>
      <c r="C22" s="34">
        <v>8400000.0000000019</v>
      </c>
      <c r="D22" s="34" t="s">
        <v>67</v>
      </c>
      <c r="E22" s="34" t="s">
        <v>45</v>
      </c>
      <c r="F22" s="15">
        <v>8400000.0000000019</v>
      </c>
      <c r="G22" s="65" t="s">
        <v>45</v>
      </c>
    </row>
    <row r="23" spans="1:7" ht="31.5" x14ac:dyDescent="0.25">
      <c r="A23" s="67" t="s">
        <v>164</v>
      </c>
      <c r="B23" s="34" t="s">
        <v>156</v>
      </c>
      <c r="C23" s="34">
        <v>18816000</v>
      </c>
      <c r="D23" s="34" t="s">
        <v>67</v>
      </c>
      <c r="E23" s="34" t="s">
        <v>45</v>
      </c>
      <c r="F23" s="15">
        <v>18816000</v>
      </c>
      <c r="G23" s="65" t="s">
        <v>45</v>
      </c>
    </row>
    <row r="24" spans="1:7" ht="15.75" x14ac:dyDescent="0.25">
      <c r="A24" s="67" t="s">
        <v>77</v>
      </c>
      <c r="B24" s="34" t="s">
        <v>156</v>
      </c>
      <c r="C24" s="34">
        <v>16224</v>
      </c>
      <c r="D24" s="34" t="s">
        <v>80</v>
      </c>
      <c r="E24" s="34" t="s">
        <v>45</v>
      </c>
      <c r="F24" s="15">
        <v>16224</v>
      </c>
      <c r="G24" s="65" t="s">
        <v>45</v>
      </c>
    </row>
    <row r="25" spans="1:7" ht="15.75" x14ac:dyDescent="0.25">
      <c r="A25" s="67" t="s">
        <v>78</v>
      </c>
      <c r="B25" s="34" t="s">
        <v>156</v>
      </c>
      <c r="C25" s="34">
        <v>3624</v>
      </c>
      <c r="D25" s="34" t="s">
        <v>80</v>
      </c>
      <c r="E25" s="34" t="s">
        <v>45</v>
      </c>
      <c r="F25" s="15">
        <v>3624</v>
      </c>
      <c r="G25" s="65" t="s">
        <v>45</v>
      </c>
    </row>
    <row r="26" spans="1:7" ht="15.75" x14ac:dyDescent="0.25">
      <c r="A26" s="67" t="s">
        <v>165</v>
      </c>
      <c r="B26" s="34" t="s">
        <v>156</v>
      </c>
      <c r="C26" s="34">
        <v>124.80000000000001</v>
      </c>
      <c r="D26" s="34" t="s">
        <v>139</v>
      </c>
      <c r="E26" s="34" t="s">
        <v>45</v>
      </c>
      <c r="F26" s="15">
        <v>124.80000000000001</v>
      </c>
      <c r="G26" s="65" t="s">
        <v>45</v>
      </c>
    </row>
    <row r="27" spans="1:7" ht="15.75" x14ac:dyDescent="0.25">
      <c r="A27" s="67" t="s">
        <v>146</v>
      </c>
      <c r="B27" s="34" t="s">
        <v>156</v>
      </c>
      <c r="C27" s="34">
        <v>432</v>
      </c>
      <c r="D27" s="34" t="s">
        <v>142</v>
      </c>
      <c r="E27" s="34" t="s">
        <v>144</v>
      </c>
      <c r="F27" s="15">
        <v>432</v>
      </c>
      <c r="G27" s="65" t="s">
        <v>45</v>
      </c>
    </row>
    <row r="28" spans="1:7" ht="15.75" x14ac:dyDescent="0.25">
      <c r="A28" s="69" t="s">
        <v>166</v>
      </c>
      <c r="B28" s="37" t="s">
        <v>156</v>
      </c>
      <c r="C28" s="37">
        <v>2712</v>
      </c>
      <c r="D28" s="37" t="s">
        <v>142</v>
      </c>
      <c r="E28" s="37" t="s">
        <v>144</v>
      </c>
      <c r="F28" s="15">
        <v>2712</v>
      </c>
      <c r="G28" s="65" t="s">
        <v>45</v>
      </c>
    </row>
    <row r="29" spans="1:7" ht="15.75" x14ac:dyDescent="0.25">
      <c r="A29" s="67" t="s">
        <v>168</v>
      </c>
      <c r="B29" s="37" t="s">
        <v>156</v>
      </c>
      <c r="C29" s="36">
        <v>2844.7014871814199</v>
      </c>
      <c r="D29" s="34" t="s">
        <v>167</v>
      </c>
      <c r="E29" s="37" t="s">
        <v>144</v>
      </c>
      <c r="F29" s="15">
        <v>2844.7014871814199</v>
      </c>
      <c r="G29" s="65" t="s">
        <v>45</v>
      </c>
    </row>
    <row r="30" spans="1:7" ht="15.75" x14ac:dyDescent="0.25">
      <c r="A30" s="67" t="s">
        <v>169</v>
      </c>
      <c r="B30" s="37" t="s">
        <v>156</v>
      </c>
      <c r="C30" s="36">
        <v>59657.373206622004</v>
      </c>
      <c r="D30" s="34" t="s">
        <v>167</v>
      </c>
      <c r="E30" s="37" t="s">
        <v>144</v>
      </c>
      <c r="F30" s="15">
        <v>59657.373206622004</v>
      </c>
      <c r="G30" s="65" t="s">
        <v>45</v>
      </c>
    </row>
    <row r="31" spans="1:7" ht="15.75" x14ac:dyDescent="0.25">
      <c r="A31" s="67" t="s">
        <v>170</v>
      </c>
      <c r="B31" s="37" t="s">
        <v>156</v>
      </c>
      <c r="C31" s="36">
        <v>436.82540374999917</v>
      </c>
      <c r="D31" s="34" t="s">
        <v>167</v>
      </c>
      <c r="E31" s="37" t="s">
        <v>144</v>
      </c>
      <c r="F31" s="15">
        <v>436.82540374999917</v>
      </c>
      <c r="G31" s="65" t="s">
        <v>45</v>
      </c>
    </row>
    <row r="32" spans="1:7" ht="15.75" x14ac:dyDescent="0.25">
      <c r="A32" s="74" t="s">
        <v>171</v>
      </c>
      <c r="B32" s="51" t="s">
        <v>156</v>
      </c>
      <c r="C32" s="52">
        <v>873.45899003999796</v>
      </c>
      <c r="D32" s="51" t="s">
        <v>167</v>
      </c>
      <c r="E32" s="51" t="s">
        <v>144</v>
      </c>
      <c r="F32" s="75">
        <v>873.45899003999796</v>
      </c>
      <c r="G32" s="76" t="s">
        <v>45</v>
      </c>
    </row>
    <row r="33" spans="1:7" ht="15.75" x14ac:dyDescent="0.25">
      <c r="A33" s="67" t="s">
        <v>168</v>
      </c>
      <c r="B33" s="34" t="s">
        <v>172</v>
      </c>
      <c r="C33" s="36">
        <v>20220.770788367859</v>
      </c>
      <c r="D33" s="34" t="s">
        <v>167</v>
      </c>
      <c r="E33" s="37" t="s">
        <v>144</v>
      </c>
      <c r="F33" s="15">
        <v>20220.770788367859</v>
      </c>
      <c r="G33" s="65" t="s">
        <v>45</v>
      </c>
    </row>
    <row r="34" spans="1:7" ht="15.75" x14ac:dyDescent="0.25">
      <c r="A34" s="67" t="s">
        <v>169</v>
      </c>
      <c r="B34" s="34" t="s">
        <v>172</v>
      </c>
      <c r="C34" s="36">
        <v>29985.732236282998</v>
      </c>
      <c r="D34" s="34" t="s">
        <v>167</v>
      </c>
      <c r="E34" s="37" t="s">
        <v>144</v>
      </c>
      <c r="F34" s="15">
        <v>29985.732236282998</v>
      </c>
      <c r="G34" s="65" t="s">
        <v>45</v>
      </c>
    </row>
    <row r="35" spans="1:7" ht="15.75" x14ac:dyDescent="0.25">
      <c r="A35" s="67" t="s">
        <v>170</v>
      </c>
      <c r="B35" s="34" t="s">
        <v>172</v>
      </c>
      <c r="C35" s="36">
        <v>7954.058239248001</v>
      </c>
      <c r="D35" s="34" t="s">
        <v>167</v>
      </c>
      <c r="E35" s="37" t="s">
        <v>144</v>
      </c>
      <c r="F35" s="15">
        <v>7954.058239248001</v>
      </c>
      <c r="G35" s="65" t="s">
        <v>45</v>
      </c>
    </row>
    <row r="36" spans="1:7" ht="16.5" thickBot="1" x14ac:dyDescent="0.3">
      <c r="A36" s="70" t="s">
        <v>171</v>
      </c>
      <c r="B36" s="38" t="s">
        <v>172</v>
      </c>
      <c r="C36" s="39">
        <v>16168.806415747673</v>
      </c>
      <c r="D36" s="38" t="s">
        <v>167</v>
      </c>
      <c r="E36" s="38" t="s">
        <v>144</v>
      </c>
      <c r="F36" s="15">
        <v>16168.806415747673</v>
      </c>
      <c r="G36" s="65" t="s">
        <v>45</v>
      </c>
    </row>
    <row r="38" spans="1:7" ht="31.5" x14ac:dyDescent="0.25">
      <c r="A38" s="67" t="s">
        <v>204</v>
      </c>
      <c r="B38" s="34" t="s">
        <v>155</v>
      </c>
      <c r="C38" s="36">
        <v>153424.65753424657</v>
      </c>
      <c r="D38" s="34" t="s">
        <v>25</v>
      </c>
      <c r="E38" s="34" t="s">
        <v>45</v>
      </c>
      <c r="F38" s="15">
        <v>153424.65753424657</v>
      </c>
      <c r="G38" s="65" t="s">
        <v>45</v>
      </c>
    </row>
    <row r="39" spans="1:7" ht="15.75" x14ac:dyDescent="0.25">
      <c r="A39" s="67" t="s">
        <v>39</v>
      </c>
      <c r="B39" s="34" t="s">
        <v>155</v>
      </c>
      <c r="C39" s="35">
        <v>419.99999999999994</v>
      </c>
      <c r="D39" s="34" t="s">
        <v>36</v>
      </c>
      <c r="E39" s="34" t="s">
        <v>43</v>
      </c>
      <c r="F39" s="15">
        <v>312479.99999999994</v>
      </c>
      <c r="G39" s="65" t="s">
        <v>45</v>
      </c>
    </row>
    <row r="40" spans="1:7" ht="15.75" x14ac:dyDescent="0.25">
      <c r="A40" s="67" t="s">
        <v>39</v>
      </c>
      <c r="B40" s="34" t="s">
        <v>155</v>
      </c>
      <c r="C40" s="35">
        <v>5600.0000000000009</v>
      </c>
      <c r="D40" s="34" t="s">
        <v>36</v>
      </c>
      <c r="E40" s="34" t="s">
        <v>43</v>
      </c>
      <c r="F40" s="15">
        <v>1545600.0000000005</v>
      </c>
      <c r="G40" s="65" t="s">
        <v>45</v>
      </c>
    </row>
    <row r="43" spans="1:7" ht="15.75" x14ac:dyDescent="0.25">
      <c r="A43" s="67" t="s">
        <v>133</v>
      </c>
      <c r="B43" s="34" t="s">
        <v>156</v>
      </c>
      <c r="C43" s="35">
        <v>5.17</v>
      </c>
      <c r="D43" s="34" t="s">
        <v>134</v>
      </c>
      <c r="E43" s="34" t="s">
        <v>130</v>
      </c>
      <c r="F43" s="15" t="s">
        <v>205</v>
      </c>
      <c r="G43" s="65" t="s">
        <v>209</v>
      </c>
    </row>
    <row r="44" spans="1:7" ht="15.75" x14ac:dyDescent="0.25">
      <c r="A44" s="67" t="s">
        <v>133</v>
      </c>
      <c r="B44" s="34" t="s">
        <v>156</v>
      </c>
      <c r="C44" s="35">
        <v>7.8</v>
      </c>
      <c r="D44" s="34" t="s">
        <v>134</v>
      </c>
      <c r="E44" s="34" t="s">
        <v>130</v>
      </c>
      <c r="F44" s="15" t="s">
        <v>205</v>
      </c>
      <c r="G44" s="65" t="s">
        <v>209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UP DNF</vt:lpstr>
      <vt:lpstr> WC DNF</vt:lpstr>
      <vt:lpstr>UP DNRA</vt:lpstr>
      <vt:lpstr>WC DNRA</vt:lpstr>
      <vt:lpstr>Table S5</vt:lpstr>
      <vt:lpstr>Table S6</vt:lpstr>
      <vt:lpstr>Other</vt:lpstr>
      <vt:lpstr>Box and whisker</vt:lpstr>
      <vt:lpstr>calc rates for nmol ghr</vt:lpstr>
      <vt:lpstr>For paper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Wilson, Stephanie</dc:creator>
  <cp:lastModifiedBy>Wilson, Stephanie</cp:lastModifiedBy>
  <dcterms:created xsi:type="dcterms:W3CDTF">2023-12-14T16:36:31Z</dcterms:created>
  <dcterms:modified xsi:type="dcterms:W3CDTF">2024-05-21T19:43:46Z</dcterms:modified>
</cp:coreProperties>
</file>